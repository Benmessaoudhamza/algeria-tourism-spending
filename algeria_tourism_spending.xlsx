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dell\Desktop\Gov spending VS tourism\Github\"/>
    </mc:Choice>
  </mc:AlternateContent>
  <xr:revisionPtr revIDLastSave="0" documentId="13_ncr:1_{C8652A2F-9BEE-4C0E-9CAB-3CB8FDE8133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Annual Budgets breakdown" sheetId="2" r:id="rId1"/>
    <sheet name="Etat C Budget by sector" sheetId="8" r:id="rId2"/>
    <sheet name="Working shee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" i="8" l="1"/>
  <c r="M6" i="8"/>
  <c r="Z14" i="2"/>
  <c r="Z3" i="2"/>
  <c r="Z12" i="2"/>
  <c r="Z17" i="2"/>
  <c r="Z26" i="2"/>
  <c r="Z27" i="2"/>
  <c r="Z10" i="2"/>
  <c r="Z4" i="2"/>
  <c r="Z5" i="2"/>
  <c r="Z6" i="2"/>
  <c r="Z7" i="2"/>
  <c r="Z8" i="2"/>
  <c r="Z9" i="2"/>
  <c r="Z11" i="2"/>
  <c r="Z13" i="2"/>
  <c r="Z15" i="2"/>
  <c r="Z16" i="2"/>
  <c r="Z18" i="2"/>
  <c r="Z19" i="2"/>
  <c r="Z20" i="2"/>
  <c r="Z21" i="2"/>
  <c r="Z22" i="2"/>
  <c r="Z23" i="2"/>
  <c r="Z24" i="2"/>
  <c r="Z25" i="2"/>
  <c r="L7" i="2"/>
  <c r="L27" i="2"/>
  <c r="L25" i="2"/>
  <c r="L26" i="2"/>
  <c r="L24" i="2"/>
  <c r="L3" i="2"/>
  <c r="G20" i="2"/>
  <c r="J17" i="3"/>
  <c r="J19" i="3" s="1"/>
  <c r="C10" i="3"/>
  <c r="C17" i="3"/>
  <c r="C19" i="3" s="1"/>
  <c r="T3" i="3"/>
  <c r="S3" i="3"/>
  <c r="N4" i="8"/>
  <c r="O4" i="8"/>
  <c r="Q4" i="8" s="1"/>
  <c r="P4" i="8"/>
  <c r="M5" i="8"/>
  <c r="N5" i="8"/>
  <c r="O5" i="8"/>
  <c r="Q5" i="8" s="1"/>
  <c r="P5" i="8"/>
  <c r="N6" i="8"/>
  <c r="O6" i="8"/>
  <c r="Q6" i="8" s="1"/>
  <c r="P6" i="8"/>
  <c r="M7" i="8"/>
  <c r="N7" i="8"/>
  <c r="O7" i="8"/>
  <c r="Q7" i="8" s="1"/>
  <c r="P7" i="8"/>
  <c r="M8" i="8"/>
  <c r="N8" i="8"/>
  <c r="O8" i="8"/>
  <c r="Q8" i="8" s="1"/>
  <c r="P8" i="8"/>
  <c r="M9" i="8"/>
  <c r="N9" i="8"/>
  <c r="O9" i="8"/>
  <c r="Q9" i="8" s="1"/>
  <c r="P9" i="8"/>
  <c r="M10" i="8"/>
  <c r="N10" i="8"/>
  <c r="O10" i="8"/>
  <c r="Q10" i="8" s="1"/>
  <c r="P10" i="8"/>
  <c r="M11" i="8"/>
  <c r="N11" i="8"/>
  <c r="O11" i="8"/>
  <c r="Q11" i="8" s="1"/>
  <c r="P11" i="8"/>
  <c r="M12" i="8"/>
  <c r="N12" i="8"/>
  <c r="O12" i="8"/>
  <c r="Q12" i="8" s="1"/>
  <c r="P12" i="8"/>
  <c r="M13" i="8"/>
  <c r="N13" i="8"/>
  <c r="O13" i="8"/>
  <c r="Q13" i="8" s="1"/>
  <c r="P13" i="8"/>
  <c r="M14" i="8"/>
  <c r="N14" i="8"/>
  <c r="O14" i="8"/>
  <c r="Q14" i="8" s="1"/>
  <c r="P14" i="8"/>
  <c r="M15" i="8"/>
  <c r="N15" i="8"/>
  <c r="O15" i="8"/>
  <c r="Q15" i="8" s="1"/>
  <c r="P15" i="8"/>
  <c r="M16" i="8"/>
  <c r="N16" i="8"/>
  <c r="O16" i="8"/>
  <c r="Q16" i="8" s="1"/>
  <c r="P16" i="8"/>
  <c r="M17" i="8"/>
  <c r="N17" i="8"/>
  <c r="O17" i="8"/>
  <c r="Q17" i="8" s="1"/>
  <c r="P17" i="8"/>
  <c r="M18" i="8"/>
  <c r="N18" i="8"/>
  <c r="O18" i="8"/>
  <c r="Q18" i="8" s="1"/>
  <c r="P18" i="8"/>
  <c r="M19" i="8"/>
  <c r="N19" i="8"/>
  <c r="O19" i="8"/>
  <c r="Q19" i="8" s="1"/>
  <c r="P19" i="8"/>
  <c r="M20" i="8"/>
  <c r="N20" i="8"/>
  <c r="O20" i="8"/>
  <c r="Q20" i="8" s="1"/>
  <c r="P20" i="8"/>
  <c r="M21" i="8"/>
  <c r="N21" i="8"/>
  <c r="O21" i="8"/>
  <c r="Q21" i="8" s="1"/>
  <c r="P21" i="8"/>
  <c r="M22" i="8"/>
  <c r="N22" i="8"/>
  <c r="O22" i="8"/>
  <c r="Q22" i="8" s="1"/>
  <c r="P22" i="8"/>
  <c r="M23" i="8"/>
  <c r="N23" i="8"/>
  <c r="O23" i="8"/>
  <c r="Q23" i="8" s="1"/>
  <c r="P23" i="8"/>
  <c r="M24" i="8"/>
  <c r="N24" i="8"/>
  <c r="O24" i="8"/>
  <c r="Q24" i="8" s="1"/>
  <c r="P24" i="8"/>
  <c r="M25" i="8"/>
  <c r="N25" i="8"/>
  <c r="O25" i="8"/>
  <c r="Q25" i="8" s="1"/>
  <c r="P25" i="8"/>
  <c r="M26" i="8"/>
  <c r="N26" i="8"/>
  <c r="O26" i="8"/>
  <c r="Q26" i="8" s="1"/>
  <c r="P26" i="8"/>
  <c r="W19" i="3"/>
  <c r="X19" i="3"/>
  <c r="Y19" i="3"/>
  <c r="W17" i="3"/>
  <c r="X17" i="3"/>
  <c r="Y17" i="3"/>
  <c r="Z17" i="3"/>
  <c r="Z19" i="3" s="1"/>
  <c r="B17" i="3" l="1"/>
  <c r="C2" i="3"/>
  <c r="B10" i="3"/>
  <c r="B14" i="3" s="1"/>
  <c r="B31" i="3"/>
  <c r="G28" i="3"/>
  <c r="G27" i="3" s="1"/>
  <c r="S17" i="3"/>
  <c r="S19" i="3" s="1"/>
  <c r="E17" i="3"/>
  <c r="E19" i="3" s="1"/>
  <c r="D17" i="3"/>
  <c r="D19" i="3" s="1"/>
  <c r="U17" i="3"/>
  <c r="U19" i="3" s="1"/>
  <c r="V17" i="3"/>
  <c r="V19" i="3" s="1"/>
  <c r="T17" i="3"/>
  <c r="T19" i="3" s="1"/>
  <c r="R17" i="3"/>
  <c r="R19" i="3" s="1"/>
  <c r="Q17" i="3"/>
  <c r="Q19" i="3" s="1"/>
  <c r="P17" i="3"/>
  <c r="P19" i="3" s="1"/>
  <c r="O17" i="3"/>
  <c r="O19" i="3" s="1"/>
  <c r="N17" i="3"/>
  <c r="N19" i="3" s="1"/>
  <c r="M17" i="3"/>
  <c r="M19" i="3" s="1"/>
  <c r="F17" i="3"/>
  <c r="F19" i="3" s="1"/>
  <c r="G17" i="3"/>
  <c r="G19" i="3" s="1"/>
  <c r="H17" i="3"/>
  <c r="H19" i="3" s="1"/>
  <c r="I17" i="3"/>
  <c r="I19" i="3" s="1"/>
  <c r="K17" i="3"/>
  <c r="K19" i="3" s="1"/>
  <c r="L17" i="3"/>
  <c r="L19" i="3" s="1"/>
  <c r="B22" i="3"/>
  <c r="T13" i="3"/>
  <c r="C31" i="3"/>
  <c r="D31" i="3"/>
  <c r="E31" i="3"/>
  <c r="F31" i="3"/>
  <c r="G31" i="3"/>
  <c r="C28" i="3"/>
  <c r="D28" i="3"/>
  <c r="E28" i="3"/>
  <c r="F28" i="3"/>
  <c r="F27" i="3" s="1"/>
  <c r="B28" i="3"/>
  <c r="Z22" i="3"/>
  <c r="T22" i="3"/>
  <c r="S22" i="3"/>
  <c r="C22" i="3"/>
  <c r="D22" i="3"/>
  <c r="E22" i="3"/>
  <c r="F22" i="3"/>
  <c r="G22" i="3"/>
  <c r="H22" i="3"/>
  <c r="I22" i="3"/>
  <c r="J22" i="3"/>
  <c r="K22" i="3"/>
  <c r="L22" i="3"/>
  <c r="M22" i="3"/>
  <c r="N22" i="3"/>
  <c r="O22" i="3"/>
  <c r="P22" i="3"/>
  <c r="Q22" i="3"/>
  <c r="R22" i="3"/>
  <c r="U22" i="3"/>
  <c r="V22" i="3"/>
  <c r="W22" i="3"/>
  <c r="X22" i="3"/>
  <c r="Y22" i="3"/>
  <c r="D27" i="3"/>
  <c r="E27" i="3"/>
  <c r="H27" i="3"/>
  <c r="I27" i="3"/>
  <c r="J27" i="3"/>
  <c r="K27" i="3"/>
  <c r="L27" i="3"/>
  <c r="M27" i="3"/>
  <c r="N27" i="3"/>
  <c r="O27" i="3"/>
  <c r="P27" i="3"/>
  <c r="Q27" i="3"/>
  <c r="R27" i="3"/>
  <c r="S27" i="3"/>
  <c r="T27" i="3"/>
  <c r="U27" i="3"/>
  <c r="V27" i="3"/>
  <c r="W27" i="3"/>
  <c r="X27" i="3"/>
  <c r="Y27" i="3"/>
  <c r="Z27" i="3"/>
  <c r="C27" i="3"/>
  <c r="H31" i="3"/>
  <c r="H32" i="3" s="1"/>
  <c r="I31" i="3"/>
  <c r="I32" i="3" s="1"/>
  <c r="J31" i="3"/>
  <c r="J32" i="3" s="1"/>
  <c r="K31" i="3"/>
  <c r="K32" i="3" s="1"/>
  <c r="L31" i="3"/>
  <c r="L32" i="3" s="1"/>
  <c r="M31" i="3"/>
  <c r="M32" i="3" s="1"/>
  <c r="N31" i="3"/>
  <c r="N32" i="3" s="1"/>
  <c r="O31" i="3"/>
  <c r="O32" i="3" s="1"/>
  <c r="P31" i="3"/>
  <c r="P32" i="3" s="1"/>
  <c r="Q31" i="3"/>
  <c r="Q32" i="3" s="1"/>
  <c r="R31" i="3"/>
  <c r="R32" i="3" s="1"/>
  <c r="S31" i="3"/>
  <c r="S32" i="3" s="1"/>
  <c r="T31" i="3"/>
  <c r="T32" i="3" s="1"/>
  <c r="U31" i="3"/>
  <c r="U32" i="3" s="1"/>
  <c r="V31" i="3"/>
  <c r="V32" i="3" s="1"/>
  <c r="W31" i="3"/>
  <c r="W32" i="3" s="1"/>
  <c r="X31" i="3"/>
  <c r="X32" i="3" s="1"/>
  <c r="Y31" i="3"/>
  <c r="Y32" i="3" s="1"/>
  <c r="Z31" i="3"/>
  <c r="Z32" i="3" s="1"/>
  <c r="Z14" i="3"/>
  <c r="D2" i="3"/>
  <c r="E2" i="3"/>
  <c r="F2" i="3"/>
  <c r="G2" i="3"/>
  <c r="H2" i="3"/>
  <c r="I2" i="3"/>
  <c r="J2" i="3"/>
  <c r="K2" i="3"/>
  <c r="L2" i="3"/>
  <c r="M2" i="3"/>
  <c r="N2" i="3"/>
  <c r="O2" i="3"/>
  <c r="P2" i="3"/>
  <c r="Q2" i="3"/>
  <c r="R2" i="3"/>
  <c r="S2" i="3"/>
  <c r="W2" i="3"/>
  <c r="X2" i="3"/>
  <c r="Y2" i="3"/>
  <c r="Z2" i="3"/>
  <c r="D14" i="3"/>
  <c r="E14" i="3"/>
  <c r="F14" i="3"/>
  <c r="G14" i="3"/>
  <c r="H14" i="3"/>
  <c r="I14" i="3"/>
  <c r="J14" i="3"/>
  <c r="K14" i="3"/>
  <c r="L14" i="3"/>
  <c r="M14" i="3"/>
  <c r="N14" i="3"/>
  <c r="O14" i="3"/>
  <c r="P14" i="3"/>
  <c r="Q14" i="3"/>
  <c r="R14" i="3"/>
  <c r="S14" i="3"/>
  <c r="W14" i="3"/>
  <c r="X14" i="3"/>
  <c r="Y14" i="3"/>
  <c r="C14" i="3"/>
  <c r="L4" i="2"/>
  <c r="L5" i="2"/>
  <c r="L6" i="2"/>
  <c r="L8" i="2"/>
  <c r="G23" i="2"/>
  <c r="L23" i="2" s="1"/>
  <c r="G22" i="2"/>
  <c r="L22" i="2" s="1"/>
  <c r="G21" i="2"/>
  <c r="L21" i="2" s="1"/>
  <c r="L20" i="2"/>
  <c r="L19" i="2"/>
  <c r="L18" i="2"/>
  <c r="L17" i="2"/>
  <c r="L16" i="2"/>
  <c r="L15" i="2"/>
  <c r="L14" i="2"/>
  <c r="L13" i="2"/>
  <c r="L12" i="2"/>
  <c r="L11" i="2"/>
  <c r="L10" i="2"/>
  <c r="L9" i="2"/>
  <c r="B27" i="3"/>
  <c r="T10" i="3" l="1"/>
  <c r="B2" i="3"/>
  <c r="U13" i="3"/>
  <c r="U10" i="3" s="1"/>
  <c r="T2" i="3"/>
  <c r="T14" i="3"/>
  <c r="U2" i="3" l="1"/>
  <c r="U14" i="3"/>
  <c r="V13" i="3"/>
  <c r="V10" i="3" s="1"/>
  <c r="V2" i="3" l="1"/>
  <c r="V14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hamza benmessaoud</author>
  </authors>
  <commentList>
    <comment ref="Q1" authorId="0" shapeId="0" xr:uid="{D2DD9088-2A3E-4163-BB09-48F9444CBE87}">
      <text>
        <r>
          <rPr>
            <b/>
            <sz val="9"/>
            <color indexed="81"/>
            <rFont val="Tahoma"/>
            <family val="2"/>
          </rPr>
          <t>hamza benmessaoud:</t>
        </r>
        <r>
          <rPr>
            <sz val="9"/>
            <color indexed="81"/>
            <rFont val="Tahoma"/>
            <family val="2"/>
          </rPr>
          <t xml:space="preserve">
no pmepmi</t>
        </r>
      </text>
    </comment>
    <comment ref="R1" authorId="0" shapeId="0" xr:uid="{B51685EE-763A-412A-AB44-017BF965BDF1}">
      <text>
        <r>
          <rPr>
            <b/>
            <sz val="9"/>
            <color indexed="81"/>
            <rFont val="Tahoma"/>
            <family val="2"/>
          </rPr>
          <t>hamza benmessaoud:</t>
        </r>
        <r>
          <rPr>
            <sz val="9"/>
            <color indexed="81"/>
            <rFont val="Tahoma"/>
            <family val="2"/>
          </rPr>
          <t xml:space="preserve">
no pmepmi
</t>
        </r>
      </text>
    </comment>
    <comment ref="U1" authorId="0" shapeId="0" xr:uid="{01784AAA-BA88-4747-9C3E-596F3664EFB5}">
      <text>
        <r>
          <rPr>
            <b/>
            <sz val="9"/>
            <color indexed="81"/>
            <rFont val="Tahoma"/>
            <family val="2"/>
          </rPr>
          <t>hamza benmessaoud:</t>
        </r>
        <r>
          <rPr>
            <sz val="9"/>
            <color indexed="81"/>
            <rFont val="Tahoma"/>
            <family val="2"/>
          </rPr>
          <t xml:space="preserve">
Travaux publics -&gt; same case previous year.
Environement energie renouvelable replacing amenagement territoir.</t>
        </r>
      </text>
    </comment>
    <comment ref="AG4" authorId="0" shapeId="0" xr:uid="{79CCA36B-653D-4443-83F9-F77FB3F076D8}">
      <text>
        <r>
          <rPr>
            <b/>
            <sz val="9"/>
            <color indexed="81"/>
            <rFont val="Tahoma"/>
            <family val="2"/>
          </rPr>
          <t>hamza benmessaoud:</t>
        </r>
        <r>
          <rPr>
            <sz val="9"/>
            <color indexed="81"/>
            <rFont val="Tahoma"/>
            <family val="2"/>
          </rPr>
          <t xml:space="preserve">
Travaux publics -&gt; same case previous year.
Environement energie renouvelable replacing amenagement territoir.</t>
        </r>
      </text>
    </comment>
    <comment ref="AG7" authorId="0" shapeId="0" xr:uid="{ACAE54E3-FB19-4828-9D8D-738D938BBAB3}">
      <text>
        <r>
          <rPr>
            <b/>
            <sz val="9"/>
            <color indexed="81"/>
            <rFont val="Tahoma"/>
            <family val="2"/>
          </rPr>
          <t>hamza benmessaoud:</t>
        </r>
        <r>
          <rPr>
            <sz val="9"/>
            <color indexed="81"/>
            <rFont val="Tahoma"/>
            <family val="2"/>
          </rPr>
          <t xml:space="preserve">
no pmepmi
</t>
        </r>
      </text>
    </comment>
    <comment ref="AG8" authorId="0" shapeId="0" xr:uid="{FF43B7F2-9043-41D5-822B-BBBA6127D6E8}">
      <text>
        <r>
          <rPr>
            <b/>
            <sz val="9"/>
            <color indexed="81"/>
            <rFont val="Tahoma"/>
            <family val="2"/>
          </rPr>
          <t>hamza benmessaoud:</t>
        </r>
        <r>
          <rPr>
            <sz val="9"/>
            <color indexed="81"/>
            <rFont val="Tahoma"/>
            <family val="2"/>
          </rPr>
          <t xml:space="preserve">
no pmepmi</t>
        </r>
      </text>
    </comment>
    <comment ref="A16" authorId="0" shapeId="0" xr:uid="{FE2DB64B-D8FC-4A98-A509-82F4BD07C2A7}">
      <text>
        <r>
          <rPr>
            <b/>
            <sz val="9"/>
            <color indexed="81"/>
            <rFont val="Tahoma"/>
            <charset val="1"/>
          </rPr>
          <t>hamza benmessaoud:</t>
        </r>
        <r>
          <rPr>
            <sz val="9"/>
            <color indexed="81"/>
            <rFont val="Tahoma"/>
            <charset val="1"/>
          </rPr>
          <t xml:space="preserve">
Considering only values where Tourism is nominally mentioned
</t>
        </r>
      </text>
    </comment>
    <comment ref="AC16" authorId="0" shapeId="0" xr:uid="{D6B0E1DC-B351-4C9F-96E6-A19CCE608BC7}">
      <text>
        <r>
          <rPr>
            <b/>
            <sz val="9"/>
            <color indexed="81"/>
            <rFont val="Tahoma"/>
            <family val="2"/>
          </rPr>
          <t>hamza benmessaoud:</t>
        </r>
        <r>
          <rPr>
            <sz val="9"/>
            <color indexed="81"/>
            <rFont val="Tahoma"/>
            <family val="2"/>
          </rPr>
          <t xml:space="preserve">
no pmepmi</t>
        </r>
      </text>
    </comment>
    <comment ref="AC17" authorId="0" shapeId="0" xr:uid="{E35F490E-1C5E-4D52-A9C0-EA5C9B3B731F}">
      <text>
        <r>
          <rPr>
            <b/>
            <sz val="9"/>
            <color indexed="81"/>
            <rFont val="Tahoma"/>
            <family val="2"/>
          </rPr>
          <t>hamza benmessaoud:</t>
        </r>
        <r>
          <rPr>
            <sz val="9"/>
            <color indexed="81"/>
            <rFont val="Tahoma"/>
            <family val="2"/>
          </rPr>
          <t xml:space="preserve">
no pmepmi
</t>
        </r>
      </text>
    </comment>
    <comment ref="AC20" authorId="0" shapeId="0" xr:uid="{7E6A550E-8C45-4989-9B58-5B6FF115FD46}">
      <text>
        <r>
          <rPr>
            <b/>
            <sz val="9"/>
            <color indexed="81"/>
            <rFont val="Tahoma"/>
            <family val="2"/>
          </rPr>
          <t>hamza benmessaoud:</t>
        </r>
        <r>
          <rPr>
            <sz val="9"/>
            <color indexed="81"/>
            <rFont val="Tahoma"/>
            <family val="2"/>
          </rPr>
          <t xml:space="preserve">
Travaux publics -&gt; same case previous year.
Environement energie renouvelable replacing amenagement territoir.</t>
        </r>
      </text>
    </comment>
    <comment ref="Q21" authorId="0" shapeId="0" xr:uid="{7B50E42D-345D-40B4-9C64-E49662C3EFEF}">
      <text>
        <r>
          <rPr>
            <b/>
            <sz val="9"/>
            <color indexed="81"/>
            <rFont val="Tahoma"/>
            <family val="2"/>
          </rPr>
          <t>hamza benmessaoud:</t>
        </r>
        <r>
          <rPr>
            <sz val="9"/>
            <color indexed="81"/>
            <rFont val="Tahoma"/>
            <family val="2"/>
          </rPr>
          <t xml:space="preserve">
no pmepmi</t>
        </r>
      </text>
    </comment>
    <comment ref="R21" authorId="0" shapeId="0" xr:uid="{E7ADDBA3-57B8-4231-8C9F-1C7C8FDB7DA6}">
      <text>
        <r>
          <rPr>
            <b/>
            <sz val="9"/>
            <color indexed="81"/>
            <rFont val="Tahoma"/>
            <family val="2"/>
          </rPr>
          <t>hamza benmessaoud:</t>
        </r>
        <r>
          <rPr>
            <sz val="9"/>
            <color indexed="81"/>
            <rFont val="Tahoma"/>
            <family val="2"/>
          </rPr>
          <t xml:space="preserve">
no pmepmi
</t>
        </r>
      </text>
    </comment>
    <comment ref="U21" authorId="0" shapeId="0" xr:uid="{D4666882-63A8-4C7F-8553-0E0A825829C4}">
      <text>
        <r>
          <rPr>
            <b/>
            <sz val="9"/>
            <color indexed="81"/>
            <rFont val="Tahoma"/>
            <family val="2"/>
          </rPr>
          <t>hamza benmessaoud:</t>
        </r>
        <r>
          <rPr>
            <sz val="9"/>
            <color indexed="81"/>
            <rFont val="Tahoma"/>
            <family val="2"/>
          </rPr>
          <t xml:space="preserve">
Travaux publics -&gt; same case previous year.
Environement energie renouvelable replacing amenagement territoir.</t>
        </r>
      </text>
    </comment>
    <comment ref="Q26" authorId="0" shapeId="0" xr:uid="{59DDA1C2-8C17-429D-BDCB-B651CA93F086}">
      <text>
        <r>
          <rPr>
            <b/>
            <sz val="9"/>
            <color indexed="81"/>
            <rFont val="Tahoma"/>
            <family val="2"/>
          </rPr>
          <t>hamza benmessaoud:</t>
        </r>
        <r>
          <rPr>
            <sz val="9"/>
            <color indexed="81"/>
            <rFont val="Tahoma"/>
            <family val="2"/>
          </rPr>
          <t xml:space="preserve">
no pmepmi</t>
        </r>
      </text>
    </comment>
    <comment ref="R26" authorId="0" shapeId="0" xr:uid="{E6AF7F41-30A9-4035-BD4F-5AEABD6D6BDB}">
      <text>
        <r>
          <rPr>
            <b/>
            <sz val="9"/>
            <color indexed="81"/>
            <rFont val="Tahoma"/>
            <family val="2"/>
          </rPr>
          <t>hamza benmessaoud:</t>
        </r>
        <r>
          <rPr>
            <sz val="9"/>
            <color indexed="81"/>
            <rFont val="Tahoma"/>
            <family val="2"/>
          </rPr>
          <t xml:space="preserve">
no pmepmi
</t>
        </r>
      </text>
    </comment>
    <comment ref="U26" authorId="0" shapeId="0" xr:uid="{BFB49B15-1F2D-4A9F-A7D4-11DB7DB5DA1A}">
      <text>
        <r>
          <rPr>
            <b/>
            <sz val="9"/>
            <color indexed="81"/>
            <rFont val="Tahoma"/>
            <family val="2"/>
          </rPr>
          <t>hamza benmessaoud:</t>
        </r>
        <r>
          <rPr>
            <sz val="9"/>
            <color indexed="81"/>
            <rFont val="Tahoma"/>
            <family val="2"/>
          </rPr>
          <t xml:space="preserve">
Travaux publics -&gt; same case previous year.
Environement energie renouvelable replacing amenagement territoir.</t>
        </r>
      </text>
    </comment>
    <comment ref="AE30" authorId="0" shapeId="0" xr:uid="{A5541F54-B5B5-4B8D-886A-1073A4A75D3B}">
      <text>
        <r>
          <rPr>
            <b/>
            <sz val="9"/>
            <color indexed="81"/>
            <rFont val="Tahoma"/>
            <family val="2"/>
          </rPr>
          <t>hamza benmessaoud:</t>
        </r>
        <r>
          <rPr>
            <sz val="9"/>
            <color indexed="81"/>
            <rFont val="Tahoma"/>
            <family val="2"/>
          </rPr>
          <t xml:space="preserve">
Travaux publics -&gt; same case previous year.
Environement energie renouvelable replacing amenagement territoir.</t>
        </r>
      </text>
    </comment>
    <comment ref="AE33" authorId="0" shapeId="0" xr:uid="{A6902BAE-B30C-4A93-8EEF-C54E35506B4A}">
      <text>
        <r>
          <rPr>
            <b/>
            <sz val="9"/>
            <color indexed="81"/>
            <rFont val="Tahoma"/>
            <family val="2"/>
          </rPr>
          <t>hamza benmessaoud:</t>
        </r>
        <r>
          <rPr>
            <sz val="9"/>
            <color indexed="81"/>
            <rFont val="Tahoma"/>
            <family val="2"/>
          </rPr>
          <t xml:space="preserve">
no pmepmi
</t>
        </r>
      </text>
    </comment>
    <comment ref="AE34" authorId="0" shapeId="0" xr:uid="{2831C329-CCC7-4E6D-BCB6-849FAE85FD44}">
      <text>
        <r>
          <rPr>
            <b/>
            <sz val="9"/>
            <color indexed="81"/>
            <rFont val="Tahoma"/>
            <family val="2"/>
          </rPr>
          <t>hamza benmessaoud:</t>
        </r>
        <r>
          <rPr>
            <sz val="9"/>
            <color indexed="81"/>
            <rFont val="Tahoma"/>
            <family val="2"/>
          </rPr>
          <t xml:space="preserve">
no pmepmi</t>
        </r>
      </text>
    </comment>
    <comment ref="Q35" authorId="0" shapeId="0" xr:uid="{87F9CE99-B67F-4DF5-B7A6-306B3EBC442D}">
      <text>
        <r>
          <rPr>
            <b/>
            <sz val="9"/>
            <color indexed="81"/>
            <rFont val="Tahoma"/>
            <family val="2"/>
          </rPr>
          <t>hamza benmessaoud:</t>
        </r>
        <r>
          <rPr>
            <sz val="9"/>
            <color indexed="81"/>
            <rFont val="Tahoma"/>
            <family val="2"/>
          </rPr>
          <t xml:space="preserve">
no pmepmi</t>
        </r>
      </text>
    </comment>
    <comment ref="R35" authorId="0" shapeId="0" xr:uid="{98E25F4A-54EB-42C9-A55A-19EAD3686952}">
      <text>
        <r>
          <rPr>
            <b/>
            <sz val="9"/>
            <color indexed="81"/>
            <rFont val="Tahoma"/>
            <family val="2"/>
          </rPr>
          <t>hamza benmessaoud:</t>
        </r>
        <r>
          <rPr>
            <sz val="9"/>
            <color indexed="81"/>
            <rFont val="Tahoma"/>
            <family val="2"/>
          </rPr>
          <t xml:space="preserve">
no pmepmi
</t>
        </r>
      </text>
    </comment>
    <comment ref="U35" authorId="0" shapeId="0" xr:uid="{FFC4C210-C2FB-46CF-B1B8-7B5771C151F1}">
      <text>
        <r>
          <rPr>
            <b/>
            <sz val="9"/>
            <color indexed="81"/>
            <rFont val="Tahoma"/>
            <family val="2"/>
          </rPr>
          <t>hamza benmessaoud:</t>
        </r>
        <r>
          <rPr>
            <sz val="9"/>
            <color indexed="81"/>
            <rFont val="Tahoma"/>
            <family val="2"/>
          </rPr>
          <t xml:space="preserve">
Travaux publics -&gt; same case previous year.
Environement energie renouvelable replacing amenagement territoir.</t>
        </r>
      </text>
    </comment>
    <comment ref="W41" authorId="0" shapeId="0" xr:uid="{295971D5-BC95-4CD3-AC46-C3BC069FE022}">
      <text>
        <r>
          <rPr>
            <b/>
            <sz val="9"/>
            <color indexed="81"/>
            <rFont val="Tahoma"/>
            <family val="2"/>
          </rPr>
          <t>hamza benmessaoud:</t>
        </r>
        <r>
          <rPr>
            <sz val="9"/>
            <color indexed="81"/>
            <rFont val="Tahoma"/>
            <family val="2"/>
          </rPr>
          <t xml:space="preserve">
Travaux publics -&gt; same case previous year.
Environement energie renouvelable replacing amenagement territoir.</t>
        </r>
      </text>
    </comment>
    <comment ref="W44" authorId="0" shapeId="0" xr:uid="{BA727120-DD13-417E-A936-85CC17E1B858}">
      <text>
        <r>
          <rPr>
            <b/>
            <sz val="9"/>
            <color indexed="81"/>
            <rFont val="Tahoma"/>
            <family val="2"/>
          </rPr>
          <t>hamza benmessaoud:</t>
        </r>
        <r>
          <rPr>
            <sz val="9"/>
            <color indexed="81"/>
            <rFont val="Tahoma"/>
            <family val="2"/>
          </rPr>
          <t xml:space="preserve">
no pmepmi
</t>
        </r>
      </text>
    </comment>
    <comment ref="AC44" authorId="0" shapeId="0" xr:uid="{7A0BFA40-B97A-4CCB-A57C-3B2427116220}">
      <text>
        <r>
          <rPr>
            <b/>
            <sz val="9"/>
            <color indexed="81"/>
            <rFont val="Tahoma"/>
            <family val="2"/>
          </rPr>
          <t>hamza benmessaoud:</t>
        </r>
        <r>
          <rPr>
            <sz val="9"/>
            <color indexed="81"/>
            <rFont val="Tahoma"/>
            <family val="2"/>
          </rPr>
          <t xml:space="preserve">
no pmepmi</t>
        </r>
      </text>
    </comment>
    <comment ref="W45" authorId="0" shapeId="0" xr:uid="{0CCE526C-9890-4E3E-B913-0FC7A52B0096}">
      <text>
        <r>
          <rPr>
            <b/>
            <sz val="9"/>
            <color indexed="81"/>
            <rFont val="Tahoma"/>
            <family val="2"/>
          </rPr>
          <t>hamza benmessaoud:</t>
        </r>
        <r>
          <rPr>
            <sz val="9"/>
            <color indexed="81"/>
            <rFont val="Tahoma"/>
            <family val="2"/>
          </rPr>
          <t xml:space="preserve">
no pmepmi</t>
        </r>
      </text>
    </comment>
    <comment ref="AC45" authorId="0" shapeId="0" xr:uid="{5A4B88B2-A1B8-4011-981F-0F79D1802270}">
      <text>
        <r>
          <rPr>
            <b/>
            <sz val="9"/>
            <color indexed="81"/>
            <rFont val="Tahoma"/>
            <family val="2"/>
          </rPr>
          <t>hamza benmessaoud:</t>
        </r>
        <r>
          <rPr>
            <sz val="9"/>
            <color indexed="81"/>
            <rFont val="Tahoma"/>
            <family val="2"/>
          </rPr>
          <t xml:space="preserve">
no pmepmi
</t>
        </r>
      </text>
    </comment>
    <comment ref="E48" authorId="0" shapeId="0" xr:uid="{C5BA08BC-41B4-4FEC-BA51-78B416D0D892}">
      <text>
        <r>
          <rPr>
            <b/>
            <sz val="9"/>
            <color indexed="81"/>
            <rFont val="Tahoma"/>
            <family val="2"/>
          </rPr>
          <t>hamza benmessaoud:</t>
        </r>
        <r>
          <rPr>
            <sz val="9"/>
            <color indexed="81"/>
            <rFont val="Tahoma"/>
            <family val="2"/>
          </rPr>
          <t xml:space="preserve">
Travaux publics -&gt; same case previous year.
Environement energie renouvelable replacing amenagement territoir.</t>
        </r>
      </text>
    </comment>
    <comment ref="AC48" authorId="0" shapeId="0" xr:uid="{91E81B51-59C1-4AD3-B314-0B32BF7A6D7D}">
      <text>
        <r>
          <rPr>
            <b/>
            <sz val="9"/>
            <color indexed="81"/>
            <rFont val="Tahoma"/>
            <family val="2"/>
          </rPr>
          <t>hamza benmessaoud:</t>
        </r>
        <r>
          <rPr>
            <sz val="9"/>
            <color indexed="81"/>
            <rFont val="Tahoma"/>
            <family val="2"/>
          </rPr>
          <t xml:space="preserve">
Travaux publics -&gt; same case previous year.
Environement energie renouvelable replacing amenagement territoir.</t>
        </r>
      </text>
    </comment>
    <comment ref="E51" authorId="0" shapeId="0" xr:uid="{38838B63-59E2-49B4-BA29-33EF7A5D7571}">
      <text>
        <r>
          <rPr>
            <b/>
            <sz val="9"/>
            <color indexed="81"/>
            <rFont val="Tahoma"/>
            <family val="2"/>
          </rPr>
          <t>hamza benmessaoud:</t>
        </r>
        <r>
          <rPr>
            <sz val="9"/>
            <color indexed="81"/>
            <rFont val="Tahoma"/>
            <family val="2"/>
          </rPr>
          <t xml:space="preserve">
no pmepmi
</t>
        </r>
      </text>
    </comment>
    <comment ref="E52" authorId="0" shapeId="0" xr:uid="{0003F378-4189-4D70-A718-AF6EBBB64BB2}">
      <text>
        <r>
          <rPr>
            <b/>
            <sz val="9"/>
            <color indexed="81"/>
            <rFont val="Tahoma"/>
            <family val="2"/>
          </rPr>
          <t>hamza benmessaoud:</t>
        </r>
        <r>
          <rPr>
            <sz val="9"/>
            <color indexed="81"/>
            <rFont val="Tahoma"/>
            <family val="2"/>
          </rPr>
          <t xml:space="preserve">
no pmepmi</t>
        </r>
      </text>
    </comment>
    <comment ref="U55" authorId="0" shapeId="0" xr:uid="{9CFF8A43-D05C-4D59-B15A-80C9F03C94FF}">
      <text>
        <r>
          <rPr>
            <b/>
            <sz val="9"/>
            <color indexed="81"/>
            <rFont val="Tahoma"/>
            <family val="2"/>
          </rPr>
          <t>hamza benmessaoud:</t>
        </r>
        <r>
          <rPr>
            <sz val="9"/>
            <color indexed="81"/>
            <rFont val="Tahoma"/>
            <family val="2"/>
          </rPr>
          <t xml:space="preserve">
no pmepmi</t>
        </r>
      </text>
    </comment>
    <comment ref="U56" authorId="0" shapeId="0" xr:uid="{2DD4BE4F-CD12-48E1-8C19-A3CA3D4FDA7E}">
      <text>
        <r>
          <rPr>
            <b/>
            <sz val="9"/>
            <color indexed="81"/>
            <rFont val="Tahoma"/>
            <family val="2"/>
          </rPr>
          <t>hamza benmessaoud:</t>
        </r>
        <r>
          <rPr>
            <sz val="9"/>
            <color indexed="81"/>
            <rFont val="Tahoma"/>
            <family val="2"/>
          </rPr>
          <t xml:space="preserve">
no pmepmi
</t>
        </r>
      </text>
    </comment>
    <comment ref="AR57" authorId="0" shapeId="0" xr:uid="{F0058355-CD85-4717-BE40-513B211A4B7F}">
      <text>
        <r>
          <rPr>
            <b/>
            <sz val="9"/>
            <color indexed="81"/>
            <rFont val="Tahoma"/>
            <family val="2"/>
          </rPr>
          <t>hamza benmessaoud:</t>
        </r>
        <r>
          <rPr>
            <sz val="9"/>
            <color indexed="81"/>
            <rFont val="Tahoma"/>
            <family val="2"/>
          </rPr>
          <t xml:space="preserve">
no pmepmi</t>
        </r>
      </text>
    </comment>
    <comment ref="AS57" authorId="0" shapeId="0" xr:uid="{AE1EC80B-116B-43BA-A55D-BC558250C737}">
      <text>
        <r>
          <rPr>
            <b/>
            <sz val="9"/>
            <color indexed="81"/>
            <rFont val="Tahoma"/>
            <family val="2"/>
          </rPr>
          <t>hamza benmessaoud:</t>
        </r>
        <r>
          <rPr>
            <sz val="9"/>
            <color indexed="81"/>
            <rFont val="Tahoma"/>
            <family val="2"/>
          </rPr>
          <t xml:space="preserve">
no pmepmi
</t>
        </r>
      </text>
    </comment>
    <comment ref="AV57" authorId="0" shapeId="0" xr:uid="{23089508-88EB-4931-B385-39AEE7F94748}">
      <text>
        <r>
          <rPr>
            <b/>
            <sz val="9"/>
            <color indexed="81"/>
            <rFont val="Tahoma"/>
            <family val="2"/>
          </rPr>
          <t>hamza benmessaoud:</t>
        </r>
        <r>
          <rPr>
            <sz val="9"/>
            <color indexed="81"/>
            <rFont val="Tahoma"/>
            <family val="2"/>
          </rPr>
          <t xml:space="preserve">
Travaux publics -&gt; same case previous year.
Environement energie renouvelable replacing amenagement territoir.</t>
        </r>
      </text>
    </comment>
    <comment ref="U59" authorId="0" shapeId="0" xr:uid="{6124335E-FCFF-4FDB-8DE0-29B4B22D3D17}">
      <text>
        <r>
          <rPr>
            <b/>
            <sz val="9"/>
            <color indexed="81"/>
            <rFont val="Tahoma"/>
            <family val="2"/>
          </rPr>
          <t>hamza benmessaoud:</t>
        </r>
        <r>
          <rPr>
            <sz val="9"/>
            <color indexed="81"/>
            <rFont val="Tahoma"/>
            <family val="2"/>
          </rPr>
          <t xml:space="preserve">
Travaux publics -&gt; same case previous year.
Environement energie renouvelable replacing amenagement territoir.</t>
        </r>
      </text>
    </comment>
    <comment ref="C62" authorId="0" shapeId="0" xr:uid="{A7F090AE-2AAE-4740-BD22-1163511852D3}">
      <text>
        <r>
          <rPr>
            <b/>
            <sz val="9"/>
            <color indexed="81"/>
            <rFont val="Tahoma"/>
            <family val="2"/>
          </rPr>
          <t>hamza benmessaoud:</t>
        </r>
        <r>
          <rPr>
            <sz val="9"/>
            <color indexed="81"/>
            <rFont val="Tahoma"/>
            <family val="2"/>
          </rPr>
          <t xml:space="preserve">
no pmepmi</t>
        </r>
      </text>
    </comment>
    <comment ref="C63" authorId="0" shapeId="0" xr:uid="{EC282360-0192-45D5-9E39-418DF1733609}">
      <text>
        <r>
          <rPr>
            <b/>
            <sz val="9"/>
            <color indexed="81"/>
            <rFont val="Tahoma"/>
            <family val="2"/>
          </rPr>
          <t>hamza benmessaoud:</t>
        </r>
        <r>
          <rPr>
            <sz val="9"/>
            <color indexed="81"/>
            <rFont val="Tahoma"/>
            <family val="2"/>
          </rPr>
          <t xml:space="preserve">
no pmepmi
</t>
        </r>
      </text>
    </comment>
    <comment ref="AW63" authorId="0" shapeId="0" xr:uid="{F05FEFDC-D77C-47F6-89AB-84095B4AEED1}">
      <text>
        <r>
          <rPr>
            <b/>
            <sz val="9"/>
            <color indexed="81"/>
            <rFont val="Tahoma"/>
            <family val="2"/>
          </rPr>
          <t>hamza benmessaoud:</t>
        </r>
        <r>
          <rPr>
            <sz val="9"/>
            <color indexed="81"/>
            <rFont val="Tahoma"/>
            <family val="2"/>
          </rPr>
          <t xml:space="preserve">
Travaux publics -&gt; same case previous year.
Environement energie renouvelable replacing amenagement territoir.</t>
        </r>
      </text>
    </comment>
    <comment ref="C66" authorId="0" shapeId="0" xr:uid="{B0715496-CD58-4074-AC3C-7D7A2241CBFE}">
      <text>
        <r>
          <rPr>
            <b/>
            <sz val="9"/>
            <color indexed="81"/>
            <rFont val="Tahoma"/>
            <family val="2"/>
          </rPr>
          <t>hamza benmessaoud:</t>
        </r>
        <r>
          <rPr>
            <sz val="9"/>
            <color indexed="81"/>
            <rFont val="Tahoma"/>
            <family val="2"/>
          </rPr>
          <t xml:space="preserve">
Travaux publics -&gt; same case previous year.
Environement energie renouvelable replacing amenagement territoir.</t>
        </r>
      </text>
    </comment>
    <comment ref="AW66" authorId="0" shapeId="0" xr:uid="{83E4DC94-A337-43A1-9FF3-306CCB598DA3}">
      <text>
        <r>
          <rPr>
            <b/>
            <sz val="9"/>
            <color indexed="81"/>
            <rFont val="Tahoma"/>
            <family val="2"/>
          </rPr>
          <t>hamza benmessaoud:</t>
        </r>
        <r>
          <rPr>
            <sz val="9"/>
            <color indexed="81"/>
            <rFont val="Tahoma"/>
            <family val="2"/>
          </rPr>
          <t xml:space="preserve">
no pmepmi
</t>
        </r>
      </text>
    </comment>
    <comment ref="W67" authorId="0" shapeId="0" xr:uid="{D22EB72F-C300-4E75-B8C4-E1F95B157C90}">
      <text>
        <r>
          <rPr>
            <b/>
            <sz val="9"/>
            <color indexed="81"/>
            <rFont val="Tahoma"/>
            <family val="2"/>
          </rPr>
          <t>hamza benmessaoud:</t>
        </r>
        <r>
          <rPr>
            <sz val="9"/>
            <color indexed="81"/>
            <rFont val="Tahoma"/>
            <family val="2"/>
          </rPr>
          <t xml:space="preserve">
Travaux publics -&gt; same case previous year.
Environement energie renouvelable replacing amenagement territoir.</t>
        </r>
      </text>
    </comment>
    <comment ref="AW67" authorId="0" shapeId="0" xr:uid="{D6C101E4-8C79-4165-ADC6-CC02519AF026}">
      <text>
        <r>
          <rPr>
            <b/>
            <sz val="9"/>
            <color indexed="81"/>
            <rFont val="Tahoma"/>
            <family val="2"/>
          </rPr>
          <t>hamza benmessaoud:</t>
        </r>
        <r>
          <rPr>
            <sz val="9"/>
            <color indexed="81"/>
            <rFont val="Tahoma"/>
            <family val="2"/>
          </rPr>
          <t xml:space="preserve">
no pmepmi</t>
        </r>
      </text>
    </comment>
    <comment ref="W70" authorId="0" shapeId="0" xr:uid="{7883012B-A120-45AC-8AF3-5F8BA038F4B2}">
      <text>
        <r>
          <rPr>
            <b/>
            <sz val="9"/>
            <color indexed="81"/>
            <rFont val="Tahoma"/>
            <family val="2"/>
          </rPr>
          <t>hamza benmessaoud:</t>
        </r>
        <r>
          <rPr>
            <sz val="9"/>
            <color indexed="81"/>
            <rFont val="Tahoma"/>
            <family val="2"/>
          </rPr>
          <t xml:space="preserve">
no pmepmi
</t>
        </r>
      </text>
    </comment>
    <comment ref="W71" authorId="0" shapeId="0" xr:uid="{2DFBF525-B6AD-4321-86A7-AA0366C841B3}">
      <text>
        <r>
          <rPr>
            <b/>
            <sz val="9"/>
            <color indexed="81"/>
            <rFont val="Tahoma"/>
            <family val="2"/>
          </rPr>
          <t>hamza benmessaoud:</t>
        </r>
        <r>
          <rPr>
            <sz val="9"/>
            <color indexed="81"/>
            <rFont val="Tahoma"/>
            <family val="2"/>
          </rPr>
          <t xml:space="preserve">
no pmepmi</t>
        </r>
      </text>
    </comment>
    <comment ref="AU77" authorId="0" shapeId="0" xr:uid="{8A88137E-B419-4258-9E3F-A6BB618719FE}">
      <text>
        <r>
          <rPr>
            <b/>
            <sz val="9"/>
            <color indexed="81"/>
            <rFont val="Tahoma"/>
            <family val="2"/>
          </rPr>
          <t>hamza benmessaoud:</t>
        </r>
        <r>
          <rPr>
            <sz val="9"/>
            <color indexed="81"/>
            <rFont val="Tahoma"/>
            <family val="2"/>
          </rPr>
          <t xml:space="preserve">
no pmepmi</t>
        </r>
      </text>
    </comment>
    <comment ref="AU78" authorId="0" shapeId="0" xr:uid="{DE04B432-C828-4DA9-B947-42B2D7FF9298}">
      <text>
        <r>
          <rPr>
            <b/>
            <sz val="9"/>
            <color indexed="81"/>
            <rFont val="Tahoma"/>
            <family val="2"/>
          </rPr>
          <t>hamza benmessaoud:</t>
        </r>
        <r>
          <rPr>
            <sz val="9"/>
            <color indexed="81"/>
            <rFont val="Tahoma"/>
            <family val="2"/>
          </rPr>
          <t xml:space="preserve">
no pmepmi
</t>
        </r>
      </text>
    </comment>
    <comment ref="U81" authorId="0" shapeId="0" xr:uid="{8CA28057-9300-4FB4-833C-629EDF799E21}">
      <text>
        <r>
          <rPr>
            <b/>
            <sz val="9"/>
            <color indexed="81"/>
            <rFont val="Tahoma"/>
            <family val="2"/>
          </rPr>
          <t>hamza benmessaoud:</t>
        </r>
        <r>
          <rPr>
            <sz val="9"/>
            <color indexed="81"/>
            <rFont val="Tahoma"/>
            <family val="2"/>
          </rPr>
          <t xml:space="preserve">
no pmepmi</t>
        </r>
      </text>
    </comment>
    <comment ref="AU81" authorId="0" shapeId="0" xr:uid="{2621D709-8D34-4FE0-9223-40EC1B48F1D3}">
      <text>
        <r>
          <rPr>
            <b/>
            <sz val="9"/>
            <color indexed="81"/>
            <rFont val="Tahoma"/>
            <family val="2"/>
          </rPr>
          <t>hamza benmessaoud:</t>
        </r>
        <r>
          <rPr>
            <sz val="9"/>
            <color indexed="81"/>
            <rFont val="Tahoma"/>
            <family val="2"/>
          </rPr>
          <t xml:space="preserve">
Travaux publics -&gt; same case previous year.
Environement energie renouvelable replacing amenagement territoir.</t>
        </r>
      </text>
    </comment>
    <comment ref="U82" authorId="0" shapeId="0" xr:uid="{6A05ACD1-F087-4304-990C-C71B51AEC459}">
      <text>
        <r>
          <rPr>
            <b/>
            <sz val="9"/>
            <color indexed="81"/>
            <rFont val="Tahoma"/>
            <family val="2"/>
          </rPr>
          <t>hamza benmessaoud:</t>
        </r>
        <r>
          <rPr>
            <sz val="9"/>
            <color indexed="81"/>
            <rFont val="Tahoma"/>
            <family val="2"/>
          </rPr>
          <t xml:space="preserve">
no pmepmi
</t>
        </r>
      </text>
    </comment>
    <comment ref="U85" authorId="0" shapeId="0" xr:uid="{995F438C-82AB-49DD-8E5E-AF574D54DD51}">
      <text>
        <r>
          <rPr>
            <b/>
            <sz val="9"/>
            <color indexed="81"/>
            <rFont val="Tahoma"/>
            <family val="2"/>
          </rPr>
          <t>hamza benmessaoud:</t>
        </r>
        <r>
          <rPr>
            <sz val="9"/>
            <color indexed="81"/>
            <rFont val="Tahoma"/>
            <family val="2"/>
          </rPr>
          <t xml:space="preserve">
Travaux publics -&gt; same case previous year.
Environement energie renouvelable replacing amenagement territoir.</t>
        </r>
      </text>
    </comment>
  </commentList>
</comments>
</file>

<file path=xl/sharedStrings.xml><?xml version="1.0" encoding="utf-8"?>
<sst xmlns="http://schemas.openxmlformats.org/spreadsheetml/2006/main" count="179" uniqueCount="68">
  <si>
    <t>Year</t>
  </si>
  <si>
    <t>السياحة والصناعة التقليدية</t>
  </si>
  <si>
    <r>
      <rPr>
        <sz val="11"/>
        <color theme="9" tint="-0.249977111117893"/>
        <rFont val="Calibri"/>
        <family val="2"/>
        <scheme val="minor"/>
      </rPr>
      <t>الطاقات المتجددة</t>
    </r>
    <r>
      <rPr>
        <sz val="11"/>
        <color rgb="FF000000"/>
        <rFont val="Calibri"/>
        <family val="2"/>
        <scheme val="minor"/>
      </rPr>
      <t xml:space="preserve"> و البيئة </t>
    </r>
    <r>
      <rPr>
        <sz val="11"/>
        <color rgb="FFFF0000"/>
        <rFont val="Calibri"/>
        <family val="2"/>
        <scheme val="minor"/>
      </rPr>
      <t>(التهيئة X)</t>
    </r>
  </si>
  <si>
    <t>اﻷشغال العمومية و النقل</t>
  </si>
  <si>
    <t xml:space="preserve"> التهيئة العمرانية السياحة و الصناعة التقليدية</t>
  </si>
  <si>
    <r>
      <t>البيئة و</t>
    </r>
    <r>
      <rPr>
        <sz val="11"/>
        <color theme="9" tint="-0.249977111117893"/>
        <rFont val="Calibri"/>
        <family val="2"/>
        <scheme val="minor"/>
      </rPr>
      <t xml:space="preserve"> الموارد المائية</t>
    </r>
  </si>
  <si>
    <t>النقل</t>
  </si>
  <si>
    <t>اﻷشغال العمومية</t>
  </si>
  <si>
    <t>السياحة و الصناعة التقليدية</t>
  </si>
  <si>
    <t>التهيئة و البيئة</t>
  </si>
  <si>
    <r>
      <t xml:space="preserve">التهيئة و البيئة </t>
    </r>
    <r>
      <rPr>
        <sz val="11"/>
        <color theme="9" tint="-0.249977111117893"/>
        <rFont val="Calibri"/>
        <family val="2"/>
        <scheme val="minor"/>
      </rPr>
      <t>و المدينة</t>
    </r>
  </si>
  <si>
    <t>التهيئة العمرانية و البيئة و السياحة</t>
  </si>
  <si>
    <r>
      <t xml:space="preserve">الصناعة التقليدية </t>
    </r>
    <r>
      <rPr>
        <sz val="11"/>
        <color theme="9" tint="-0.249977111117893"/>
        <rFont val="Calibri"/>
        <family val="2"/>
        <scheme val="minor"/>
      </rPr>
      <t xml:space="preserve">و م.ص.م </t>
    </r>
  </si>
  <si>
    <t xml:space="preserve"> السياحة</t>
  </si>
  <si>
    <r>
      <t xml:space="preserve">الصناعة التقليدية البيئة و التهيئة </t>
    </r>
    <r>
      <rPr>
        <sz val="11"/>
        <color theme="9" tint="-0.249977111117893"/>
        <rFont val="Calibri"/>
        <family val="2"/>
        <scheme val="minor"/>
      </rPr>
      <t>و م.ص.م</t>
    </r>
  </si>
  <si>
    <t>السياحة</t>
  </si>
  <si>
    <t xml:space="preserve"> م.ص.م والصناعة التقليدية</t>
  </si>
  <si>
    <t xml:space="preserve"> م.ص.م</t>
  </si>
  <si>
    <r>
      <t xml:space="preserve">التهيئة و البيئة </t>
    </r>
    <r>
      <rPr>
        <sz val="11"/>
        <color theme="9" tint="-0.249977111117893"/>
        <rFont val="Calibri"/>
        <family val="2"/>
        <scheme val="minor"/>
      </rPr>
      <t>و الاشغال</t>
    </r>
  </si>
  <si>
    <t>Years</t>
  </si>
  <si>
    <t>Tourisme et artisanat</t>
  </si>
  <si>
    <t>Tourisme</t>
  </si>
  <si>
    <t>Artisanat et PME</t>
  </si>
  <si>
    <t>Total</t>
  </si>
  <si>
    <t>Amenagement territoir et environnement</t>
  </si>
  <si>
    <t xml:space="preserve">Tourisme, amenagement territoir, environnement </t>
  </si>
  <si>
    <t>Travaux publics, Amenagement territoir et environnement urbanisme</t>
  </si>
  <si>
    <t xml:space="preserve">Travaux publics  </t>
  </si>
  <si>
    <t>PME PMI ( 2014 : dev de l'industrie … )</t>
  </si>
  <si>
    <t>Amenagement territoir tourisme et artisanat</t>
  </si>
  <si>
    <t>Transports</t>
  </si>
  <si>
    <t>Travaux publics et transport</t>
  </si>
  <si>
    <t>Sectors / Groups ( tourism Related )</t>
  </si>
  <si>
    <t>Sectors / Groups secondary</t>
  </si>
  <si>
    <t>Culture</t>
  </si>
  <si>
    <t>Communication</t>
  </si>
  <si>
    <t>Communication et culture</t>
  </si>
  <si>
    <t>Tourism + related sectors</t>
  </si>
  <si>
    <t>Secondary sectors</t>
  </si>
  <si>
    <t>Only tourisme et artisanat</t>
  </si>
  <si>
    <t>Share of culture</t>
  </si>
  <si>
    <t>Average</t>
  </si>
  <si>
    <t>Missing</t>
  </si>
  <si>
    <t>Budget amenagement du terittoire</t>
  </si>
  <si>
    <t>Service productifs</t>
  </si>
  <si>
    <t>Infrastructures econimiques et administratives</t>
  </si>
  <si>
    <t>Infrastructures socio-culturelles</t>
  </si>
  <si>
    <t>Habitat</t>
  </si>
  <si>
    <t>Unit : Par milliers de DZD</t>
  </si>
  <si>
    <t>Montant</t>
  </si>
  <si>
    <t>CP</t>
  </si>
  <si>
    <t>AP</t>
  </si>
  <si>
    <t>AP: autorisation de programmes</t>
  </si>
  <si>
    <t>CP: Credits de paiement</t>
  </si>
  <si>
    <t>AEI</t>
  </si>
  <si>
    <t>SCI</t>
  </si>
  <si>
    <t>HA</t>
  </si>
  <si>
    <t>PS</t>
  </si>
  <si>
    <t>EXR</t>
  </si>
  <si>
    <t>SCI USD</t>
  </si>
  <si>
    <t>Amount ( DZD )</t>
  </si>
  <si>
    <t>Annual budget all administrations</t>
  </si>
  <si>
    <t>SubTotal (D+G+J)</t>
  </si>
  <si>
    <t>SubTotal (T+Z)</t>
  </si>
  <si>
    <t>CP : Credit de paiement</t>
  </si>
  <si>
    <t>Ministry ( Administration )</t>
  </si>
  <si>
    <t>TB ( considering only where tourism was nominatly mentionned )</t>
  </si>
  <si>
    <t>TBE ( tourism, artisanat et environnement …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</si>
</sst>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.00\ &quot;€&quot;_-;\-* #,##0.00\ &quot;€&quot;_-;_-* &quot;-&quot;??\ &quot;€&quot;_-;_-@_-"/>
    <numFmt numFmtId="165" formatCode="#,##0\ [$DZD]"/>
    <numFmt numFmtId="168" formatCode="_-* #,##0\ [$DZD]_-;\-* #,##0\ [$DZD]_-;_-* &quot;-&quot;\ [$DZD]_-;_-@_-"/>
    <numFmt numFmtId="169" formatCode="_-* #,##0\ &quot;€&quot;_-;\-* #,##0\ &quot;€&quot;_-;_-* &quot;-&quot;??\ &quot;€&quot;_-;_-@_-"/>
    <numFmt numFmtId="170" formatCode="_([$$-409]* #,##0_);_([$$-409]* \(#,##0\);_([$$-409]* &quot;-&quot;??_);_(@_)"/>
    <numFmt numFmtId="173" formatCode="_([$DZD]\ * #,##0_);_([$DZD]\ * \(#,##0\);_([$DZD]\ * &quot;-&quot;??_);_(@_)"/>
  </numFmts>
  <fonts count="1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theme="1"/>
      <name val="Calibri"/>
      <family val="2"/>
      <scheme val="minor"/>
    </font>
    <font>
      <b/>
      <sz val="11"/>
      <color theme="9"/>
      <name val="Calibri"/>
      <family val="2"/>
      <scheme val="minor"/>
    </font>
    <font>
      <sz val="11"/>
      <color theme="9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color theme="5"/>
      <name val="Calibri"/>
      <family val="2"/>
      <scheme val="minor"/>
    </font>
    <font>
      <b/>
      <sz val="1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249977111117893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164" fontId="5" fillId="0" borderId="0" applyFont="0" applyFill="0" applyBorder="0" applyAlignment="0" applyProtection="0"/>
    <xf numFmtId="9" fontId="5" fillId="0" borderId="0" applyFont="0" applyFill="0" applyBorder="0" applyAlignment="0" applyProtection="0"/>
  </cellStyleXfs>
  <cellXfs count="62">
    <xf numFmtId="0" fontId="0" fillId="0" borderId="0" xfId="0"/>
    <xf numFmtId="0" fontId="0" fillId="0" borderId="0" xfId="0" applyAlignment="1">
      <alignment horizontal="center"/>
    </xf>
    <xf numFmtId="0" fontId="0" fillId="0" borderId="3" xfId="0" applyBorder="1" applyAlignment="1">
      <alignment horizontal="left"/>
    </xf>
    <xf numFmtId="0" fontId="3" fillId="0" borderId="0" xfId="0" applyFont="1" applyAlignment="1">
      <alignment horizontal="right" vertical="center" readingOrder="2"/>
    </xf>
    <xf numFmtId="2" fontId="0" fillId="0" borderId="0" xfId="0" applyNumberFormat="1"/>
    <xf numFmtId="0" fontId="0" fillId="0" borderId="5" xfId="0" applyBorder="1" applyAlignment="1">
      <alignment horizontal="left"/>
    </xf>
    <xf numFmtId="0" fontId="0" fillId="0" borderId="0" xfId="0" applyAlignment="1">
      <alignment horizontal="left"/>
    </xf>
    <xf numFmtId="0" fontId="0" fillId="0" borderId="1" xfId="0" applyBorder="1"/>
    <xf numFmtId="165" fontId="0" fillId="0" borderId="0" xfId="0" applyNumberFormat="1"/>
    <xf numFmtId="165" fontId="0" fillId="0" borderId="4" xfId="0" applyNumberFormat="1" applyBorder="1"/>
    <xf numFmtId="0" fontId="0" fillId="0" borderId="0" xfId="0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9" fillId="6" borderId="6" xfId="0" applyFont="1" applyFill="1" applyBorder="1" applyAlignment="1">
      <alignment horizontal="left" vertical="center"/>
    </xf>
    <xf numFmtId="0" fontId="9" fillId="6" borderId="1" xfId="0" applyFont="1" applyFill="1" applyBorder="1" applyAlignment="1">
      <alignment horizontal="left" vertical="center"/>
    </xf>
    <xf numFmtId="0" fontId="9" fillId="6" borderId="1" xfId="0" applyFont="1" applyFill="1" applyBorder="1" applyAlignment="1">
      <alignment horizontal="left" vertical="top" wrapText="1"/>
    </xf>
    <xf numFmtId="165" fontId="0" fillId="8" borderId="0" xfId="0" applyNumberFormat="1" applyFill="1" applyAlignment="1">
      <alignment horizontal="center" vertical="center"/>
    </xf>
    <xf numFmtId="168" fontId="0" fillId="0" borderId="0" xfId="1" applyNumberFormat="1" applyFont="1"/>
    <xf numFmtId="9" fontId="0" fillId="0" borderId="0" xfId="2" applyFont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165" fontId="10" fillId="0" borderId="0" xfId="0" applyNumberFormat="1" applyFont="1" applyAlignment="1">
      <alignment horizontal="center" vertical="center"/>
    </xf>
    <xf numFmtId="165" fontId="0" fillId="0" borderId="0" xfId="1" applyNumberFormat="1" applyFont="1"/>
    <xf numFmtId="165" fontId="11" fillId="0" borderId="0" xfId="0" applyNumberFormat="1" applyFont="1" applyAlignment="1">
      <alignment horizontal="center" vertical="center"/>
    </xf>
    <xf numFmtId="165" fontId="0" fillId="9" borderId="0" xfId="0" applyNumberFormat="1" applyFill="1" applyAlignment="1">
      <alignment horizontal="center" vertical="center"/>
    </xf>
    <xf numFmtId="165" fontId="0" fillId="7" borderId="0" xfId="0" applyNumberForma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165" fontId="10" fillId="7" borderId="0" xfId="0" applyNumberFormat="1" applyFont="1" applyFill="1" applyAlignment="1">
      <alignment horizontal="center" vertical="center"/>
    </xf>
    <xf numFmtId="165" fontId="14" fillId="0" borderId="0" xfId="0" applyNumberFormat="1" applyFont="1" applyAlignment="1">
      <alignment horizontal="center" vertical="center"/>
    </xf>
    <xf numFmtId="0" fontId="15" fillId="1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5" fillId="10" borderId="1" xfId="0" applyFont="1" applyFill="1" applyBorder="1" applyAlignment="1">
      <alignment horizontal="center" wrapText="1"/>
    </xf>
    <xf numFmtId="0" fontId="16" fillId="0" borderId="0" xfId="0" applyFont="1" applyAlignment="1">
      <alignment horizontal="center" vertical="center" wrapText="1"/>
    </xf>
    <xf numFmtId="169" fontId="0" fillId="0" borderId="0" xfId="1" applyNumberFormat="1" applyFont="1" applyAlignment="1">
      <alignment horizontal="center" vertical="center"/>
    </xf>
    <xf numFmtId="170" fontId="0" fillId="0" borderId="0" xfId="0" applyNumberFormat="1" applyAlignment="1">
      <alignment horizontal="left"/>
    </xf>
    <xf numFmtId="165" fontId="0" fillId="0" borderId="10" xfId="0" applyNumberFormat="1" applyBorder="1"/>
    <xf numFmtId="0" fontId="3" fillId="0" borderId="9" xfId="0" applyFont="1" applyBorder="1" applyAlignment="1">
      <alignment horizontal="right" vertical="center" readingOrder="2"/>
    </xf>
    <xf numFmtId="165" fontId="0" fillId="0" borderId="11" xfId="0" applyNumberFormat="1" applyBorder="1"/>
    <xf numFmtId="165" fontId="0" fillId="0" borderId="12" xfId="0" applyNumberFormat="1" applyBorder="1"/>
    <xf numFmtId="0" fontId="17" fillId="2" borderId="7" xfId="0" applyFont="1" applyFill="1" applyBorder="1" applyAlignment="1">
      <alignment horizontal="center" vertical="center"/>
    </xf>
    <xf numFmtId="0" fontId="17" fillId="2" borderId="8" xfId="0" applyFon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17" fillId="2" borderId="2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3" fillId="0" borderId="9" xfId="0" applyFont="1" applyBorder="1" applyAlignment="1">
      <alignment horizontal="right" vertical="center"/>
    </xf>
    <xf numFmtId="0" fontId="15" fillId="10" borderId="1" xfId="0" applyFont="1" applyFill="1" applyBorder="1" applyAlignment="1">
      <alignment horizontal="center" vertical="center" wrapText="1"/>
    </xf>
    <xf numFmtId="165" fontId="0" fillId="0" borderId="16" xfId="0" applyNumberFormat="1" applyBorder="1"/>
    <xf numFmtId="0" fontId="17" fillId="2" borderId="13" xfId="0" applyFont="1" applyFill="1" applyBorder="1" applyAlignment="1">
      <alignment horizontal="center" vertical="center"/>
    </xf>
    <xf numFmtId="0" fontId="17" fillId="2" borderId="2" xfId="0" applyFont="1" applyFill="1" applyBorder="1" applyAlignment="1">
      <alignment horizontal="left"/>
    </xf>
    <xf numFmtId="0" fontId="0" fillId="0" borderId="0" xfId="0" applyBorder="1" applyAlignment="1">
      <alignment horizontal="center"/>
    </xf>
    <xf numFmtId="0" fontId="3" fillId="0" borderId="9" xfId="0" applyFont="1" applyBorder="1" applyAlignment="1">
      <alignment horizontal="center" vertical="center" readingOrder="2"/>
    </xf>
    <xf numFmtId="173" fontId="0" fillId="0" borderId="0" xfId="1" applyNumberFormat="1" applyFont="1"/>
    <xf numFmtId="0" fontId="0" fillId="0" borderId="0" xfId="0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1" xfId="0" applyFill="1" applyBorder="1" applyAlignment="1">
      <alignment horizontal="center" vertical="center"/>
    </xf>
    <xf numFmtId="0" fontId="16" fillId="0" borderId="17" xfId="0" applyFont="1" applyBorder="1" applyAlignment="1">
      <alignment horizontal="center" vertical="center" wrapText="1"/>
    </xf>
    <xf numFmtId="0" fontId="15" fillId="10" borderId="3" xfId="0" applyFont="1" applyFill="1" applyBorder="1" applyAlignment="1">
      <alignment horizontal="center" wrapText="1"/>
    </xf>
    <xf numFmtId="0" fontId="15" fillId="8" borderId="3" xfId="0" applyFont="1" applyFill="1" applyBorder="1" applyAlignment="1">
      <alignment horizontal="center" wrapText="1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48164-62B6-4C29-A156-F159212EF9FC}">
  <dimension ref="A1:Z29"/>
  <sheetViews>
    <sheetView tabSelected="1" zoomScale="80" zoomScaleNormal="80" workbookViewId="0">
      <pane xSplit="1" ySplit="2" topLeftCell="B3" activePane="bottomRight" state="frozen"/>
      <selection pane="topRight" activeCell="B1" sqref="B1"/>
      <selection pane="bottomLeft" activeCell="A2" sqref="A2"/>
      <selection pane="bottomRight" activeCell="K41" sqref="K41"/>
    </sheetView>
  </sheetViews>
  <sheetFormatPr defaultColWidth="11.453125" defaultRowHeight="14.5" x14ac:dyDescent="0.35"/>
  <cols>
    <col min="1" max="1" width="10.81640625" style="10"/>
    <col min="2" max="2" width="2.26953125" style="6" customWidth="1"/>
    <col min="3" max="3" width="33" customWidth="1"/>
    <col min="4" max="4" width="17.453125" customWidth="1"/>
    <col min="5" max="5" width="2.26953125" customWidth="1"/>
    <col min="6" max="6" width="33" customWidth="1"/>
    <col min="7" max="7" width="21.7265625" customWidth="1"/>
    <col min="8" max="8" width="4.36328125" customWidth="1"/>
    <col min="9" max="9" width="24.08984375" bestFit="1" customWidth="1"/>
    <col min="10" max="10" width="17.453125" customWidth="1"/>
    <col min="11" max="11" width="4.7265625" customWidth="1"/>
    <col min="12" max="12" width="27.1796875" customWidth="1"/>
    <col min="13" max="13" width="4.26953125" customWidth="1"/>
    <col min="14" max="14" width="34.1796875" bestFit="1" customWidth="1"/>
    <col min="15" max="15" width="2.90625" customWidth="1"/>
    <col min="16" max="16" width="5.1796875" style="8" customWidth="1"/>
    <col min="17" max="17" width="24.08984375" style="10" bestFit="1" customWidth="1"/>
    <col min="18" max="18" width="19" customWidth="1"/>
    <col min="19" max="19" width="6.54296875" customWidth="1"/>
    <col min="20" max="20" width="24.08984375" style="10" bestFit="1" customWidth="1"/>
    <col min="21" max="21" width="19.81640625" customWidth="1"/>
    <col min="22" max="22" width="5.453125" customWidth="1"/>
    <col min="23" max="23" width="24.08984375" style="10" bestFit="1" customWidth="1"/>
    <col min="24" max="24" width="19.81640625" customWidth="1"/>
    <col min="25" max="25" width="3.7265625" customWidth="1"/>
    <col min="26" max="26" width="29" customWidth="1"/>
    <col min="27" max="27" width="4.1796875" customWidth="1"/>
  </cols>
  <sheetData>
    <row r="1" spans="1:26" ht="15" thickBot="1" x14ac:dyDescent="0.4"/>
    <row r="2" spans="1:26" ht="15" thickBot="1" x14ac:dyDescent="0.4">
      <c r="A2" s="44" t="s">
        <v>0</v>
      </c>
      <c r="B2" s="2"/>
      <c r="C2" s="41" t="s">
        <v>65</v>
      </c>
      <c r="D2" s="42" t="s">
        <v>60</v>
      </c>
      <c r="F2" s="41" t="s">
        <v>65</v>
      </c>
      <c r="G2" s="51" t="s">
        <v>60</v>
      </c>
      <c r="I2" s="41" t="s">
        <v>65</v>
      </c>
      <c r="J2" s="51" t="s">
        <v>60</v>
      </c>
      <c r="L2" s="44" t="s">
        <v>62</v>
      </c>
      <c r="N2" s="52" t="s">
        <v>61</v>
      </c>
      <c r="Q2" s="41" t="s">
        <v>65</v>
      </c>
      <c r="R2" s="43" t="s">
        <v>60</v>
      </c>
      <c r="S2" s="1"/>
      <c r="T2" s="41" t="s">
        <v>65</v>
      </c>
      <c r="U2" s="43" t="s">
        <v>60</v>
      </c>
      <c r="W2" s="41" t="s">
        <v>65</v>
      </c>
      <c r="X2" s="43" t="s">
        <v>60</v>
      </c>
      <c r="Z2" s="44" t="s">
        <v>63</v>
      </c>
    </row>
    <row r="3" spans="1:26" ht="15" thickBot="1" x14ac:dyDescent="0.4">
      <c r="A3" s="45">
        <v>2023</v>
      </c>
      <c r="B3" s="2"/>
      <c r="C3" s="38" t="s">
        <v>1</v>
      </c>
      <c r="D3" s="37">
        <v>5640109000</v>
      </c>
      <c r="F3" s="38" t="s">
        <v>2</v>
      </c>
      <c r="G3" s="39">
        <v>12246212000</v>
      </c>
      <c r="H3" s="8"/>
      <c r="I3" s="38"/>
      <c r="J3" s="39"/>
      <c r="K3" s="3"/>
      <c r="L3" s="9">
        <f t="shared" ref="L3:L8" si="0">G3+D3</f>
        <v>17886321000</v>
      </c>
      <c r="N3" s="9">
        <v>14681773798000</v>
      </c>
      <c r="Q3" s="54"/>
      <c r="R3" s="39"/>
      <c r="S3" s="1"/>
      <c r="T3" s="54" t="s">
        <v>3</v>
      </c>
      <c r="U3" s="39">
        <v>672992647490</v>
      </c>
      <c r="V3" s="53"/>
      <c r="W3" s="54"/>
      <c r="X3" s="39"/>
      <c r="Z3" s="9">
        <f>U3</f>
        <v>672992647490</v>
      </c>
    </row>
    <row r="4" spans="1:26" ht="15" thickBot="1" x14ac:dyDescent="0.4">
      <c r="A4" s="45">
        <v>2022</v>
      </c>
      <c r="B4" s="2"/>
      <c r="C4" s="38" t="s">
        <v>1</v>
      </c>
      <c r="D4" s="37">
        <v>3631273000</v>
      </c>
      <c r="F4" s="38" t="s">
        <v>2</v>
      </c>
      <c r="G4" s="37">
        <v>3016099000</v>
      </c>
      <c r="H4" s="8"/>
      <c r="I4" s="38"/>
      <c r="J4" s="37"/>
      <c r="K4" s="3"/>
      <c r="L4" s="9">
        <f t="shared" si="0"/>
        <v>6647372000</v>
      </c>
      <c r="N4" s="9">
        <v>7697012437000</v>
      </c>
      <c r="Q4" s="54"/>
      <c r="R4" s="37"/>
      <c r="S4" s="1"/>
      <c r="T4" s="54" t="s">
        <v>3</v>
      </c>
      <c r="U4" s="37">
        <v>27838035000</v>
      </c>
      <c r="V4" s="53"/>
      <c r="W4" s="54"/>
      <c r="X4" s="37"/>
      <c r="Z4" s="9">
        <f t="shared" ref="Z4:Z9" si="1">U4</f>
        <v>27838035000</v>
      </c>
    </row>
    <row r="5" spans="1:26" ht="15" thickBot="1" x14ac:dyDescent="0.4">
      <c r="A5" s="45">
        <v>2021</v>
      </c>
      <c r="B5" s="2"/>
      <c r="C5" s="38" t="s">
        <v>1</v>
      </c>
      <c r="D5" s="37">
        <v>3244688000</v>
      </c>
      <c r="F5" s="38" t="s">
        <v>2</v>
      </c>
      <c r="G5" s="37">
        <v>2694801000</v>
      </c>
      <c r="H5" s="8"/>
      <c r="I5" s="38"/>
      <c r="J5" s="37"/>
      <c r="K5" s="3"/>
      <c r="L5" s="9">
        <f t="shared" si="0"/>
        <v>5939489000</v>
      </c>
      <c r="N5" s="9">
        <v>5664506529000</v>
      </c>
      <c r="Q5" s="54"/>
      <c r="R5" s="37"/>
      <c r="S5" s="1"/>
      <c r="T5" s="54" t="s">
        <v>3</v>
      </c>
      <c r="U5" s="37">
        <v>24315051000</v>
      </c>
      <c r="V5" s="53"/>
      <c r="W5" s="54"/>
      <c r="X5" s="37"/>
      <c r="Z5" s="9">
        <f t="shared" si="1"/>
        <v>24315051000</v>
      </c>
    </row>
    <row r="6" spans="1:26" ht="15" thickBot="1" x14ac:dyDescent="0.4">
      <c r="A6" s="45">
        <v>2020</v>
      </c>
      <c r="B6" s="2"/>
      <c r="C6" s="38" t="s">
        <v>1</v>
      </c>
      <c r="D6" s="37">
        <v>3117974000</v>
      </c>
      <c r="F6" s="38" t="s">
        <v>2</v>
      </c>
      <c r="G6" s="37">
        <v>2108927000</v>
      </c>
      <c r="H6" s="8"/>
      <c r="I6" s="38"/>
      <c r="J6" s="37"/>
      <c r="K6" s="3"/>
      <c r="L6" s="9">
        <f t="shared" si="0"/>
        <v>5226901000</v>
      </c>
      <c r="N6" s="9">
        <v>4893439095000</v>
      </c>
      <c r="Q6" s="54"/>
      <c r="R6" s="37"/>
      <c r="S6" s="1"/>
      <c r="T6" s="54" t="s">
        <v>3</v>
      </c>
      <c r="U6" s="37">
        <v>24655965000</v>
      </c>
      <c r="V6" s="53"/>
      <c r="W6" s="54"/>
      <c r="X6" s="37"/>
      <c r="Z6" s="9">
        <f t="shared" si="1"/>
        <v>24655965000</v>
      </c>
    </row>
    <row r="7" spans="1:26" ht="15" thickBot="1" x14ac:dyDescent="0.4">
      <c r="A7" s="45">
        <v>2019</v>
      </c>
      <c r="B7" s="2"/>
      <c r="C7" s="38" t="s">
        <v>1</v>
      </c>
      <c r="D7" s="37">
        <v>3202041000</v>
      </c>
      <c r="E7" s="8"/>
      <c r="F7" s="38" t="s">
        <v>2</v>
      </c>
      <c r="G7" s="37">
        <v>2136204000</v>
      </c>
      <c r="H7" s="8"/>
      <c r="I7" s="38"/>
      <c r="J7" s="37"/>
      <c r="K7" s="3"/>
      <c r="L7" s="9">
        <f>G7+D7</f>
        <v>5338245000</v>
      </c>
      <c r="N7" s="9">
        <v>4954476536000</v>
      </c>
      <c r="Q7" s="54"/>
      <c r="R7" s="37"/>
      <c r="S7" s="1"/>
      <c r="T7" s="54" t="s">
        <v>3</v>
      </c>
      <c r="U7" s="37">
        <v>49959375000</v>
      </c>
      <c r="V7" s="53"/>
      <c r="W7" s="54"/>
      <c r="X7" s="37"/>
      <c r="Y7" s="53"/>
      <c r="Z7" s="9">
        <f t="shared" si="1"/>
        <v>49959375000</v>
      </c>
    </row>
    <row r="8" spans="1:26" ht="15" thickBot="1" x14ac:dyDescent="0.4">
      <c r="A8" s="45">
        <v>2018</v>
      </c>
      <c r="B8" s="2"/>
      <c r="C8" s="38" t="s">
        <v>1</v>
      </c>
      <c r="D8" s="37">
        <v>3157141000</v>
      </c>
      <c r="E8" s="8"/>
      <c r="F8" s="38" t="s">
        <v>2</v>
      </c>
      <c r="G8" s="37">
        <v>2136204000</v>
      </c>
      <c r="H8" s="8"/>
      <c r="I8" s="38"/>
      <c r="J8" s="37"/>
      <c r="K8" s="3"/>
      <c r="L8" s="9">
        <f t="shared" si="0"/>
        <v>5293345000</v>
      </c>
      <c r="N8" s="9">
        <v>4584462233000</v>
      </c>
      <c r="Q8" s="54"/>
      <c r="R8" s="37"/>
      <c r="S8" s="1"/>
      <c r="T8" s="54" t="s">
        <v>3</v>
      </c>
      <c r="U8" s="37">
        <v>25984720000</v>
      </c>
      <c r="V8" s="53"/>
      <c r="W8" s="54"/>
      <c r="X8" s="37"/>
      <c r="Y8" s="53"/>
      <c r="Z8" s="9">
        <f t="shared" si="1"/>
        <v>25984720000</v>
      </c>
    </row>
    <row r="9" spans="1:26" ht="15" thickBot="1" x14ac:dyDescent="0.4">
      <c r="A9" s="46">
        <v>2017</v>
      </c>
      <c r="B9" s="5"/>
      <c r="C9" s="38" t="s">
        <v>4</v>
      </c>
      <c r="D9" s="39">
        <v>3622324000</v>
      </c>
      <c r="E9" s="8"/>
      <c r="F9" s="38" t="s">
        <v>5</v>
      </c>
      <c r="G9" s="39">
        <v>16183538000</v>
      </c>
      <c r="H9" s="8"/>
      <c r="I9" s="38"/>
      <c r="J9" s="39"/>
      <c r="K9" s="3"/>
      <c r="L9" s="9">
        <f>D9</f>
        <v>3622324000</v>
      </c>
      <c r="N9" s="9">
        <v>4591841961000</v>
      </c>
      <c r="Q9" s="54"/>
      <c r="R9" s="39"/>
      <c r="S9" s="1"/>
      <c r="T9" s="54" t="s">
        <v>3</v>
      </c>
      <c r="U9" s="39">
        <v>27425215000</v>
      </c>
      <c r="V9" s="53"/>
      <c r="W9" s="54"/>
      <c r="X9" s="39"/>
      <c r="Y9" s="53"/>
      <c r="Z9" s="9">
        <f t="shared" si="1"/>
        <v>27425215000</v>
      </c>
    </row>
    <row r="10" spans="1:26" ht="15" thickBot="1" x14ac:dyDescent="0.4">
      <c r="A10" s="46">
        <v>2016</v>
      </c>
      <c r="B10" s="5"/>
      <c r="C10" s="38" t="s">
        <v>4</v>
      </c>
      <c r="D10" s="39">
        <v>4117881000</v>
      </c>
      <c r="E10" s="8"/>
      <c r="F10" s="38" t="s">
        <v>5</v>
      </c>
      <c r="G10" s="39">
        <v>17616679000</v>
      </c>
      <c r="H10" s="8"/>
      <c r="I10" s="38"/>
      <c r="J10" s="39"/>
      <c r="K10" s="3"/>
      <c r="L10" s="9">
        <f>D10</f>
        <v>4117881000</v>
      </c>
      <c r="N10" s="9">
        <v>4807332000000</v>
      </c>
      <c r="Q10" s="54" t="s">
        <v>6</v>
      </c>
      <c r="R10" s="39">
        <v>11218880000</v>
      </c>
      <c r="S10" s="1"/>
      <c r="T10" s="54"/>
      <c r="U10" s="39"/>
      <c r="V10" s="53"/>
      <c r="W10" s="54" t="s">
        <v>7</v>
      </c>
      <c r="X10" s="39">
        <v>19085089000</v>
      </c>
      <c r="Y10" s="53"/>
      <c r="Z10" s="9">
        <f>R10+X10</f>
        <v>30303969000</v>
      </c>
    </row>
    <row r="11" spans="1:26" ht="15" thickBot="1" x14ac:dyDescent="0.4">
      <c r="A11" s="46">
        <v>2015</v>
      </c>
      <c r="B11" s="5"/>
      <c r="C11" s="48" t="s">
        <v>8</v>
      </c>
      <c r="D11" s="39">
        <v>3429022000</v>
      </c>
      <c r="E11" s="8"/>
      <c r="F11" s="38" t="s">
        <v>9</v>
      </c>
      <c r="G11" s="39">
        <v>2550261000</v>
      </c>
      <c r="H11" s="8"/>
      <c r="I11" s="38"/>
      <c r="J11" s="39"/>
      <c r="K11" s="3"/>
      <c r="L11" s="9">
        <f t="shared" ref="L11:L23" si="2">G11+D11</f>
        <v>5979283000</v>
      </c>
      <c r="N11" s="9">
        <v>4972278494000</v>
      </c>
      <c r="Q11" s="54" t="s">
        <v>6</v>
      </c>
      <c r="R11" s="39">
        <v>12549139000</v>
      </c>
      <c r="S11" s="1"/>
      <c r="T11" s="54"/>
      <c r="U11" s="39"/>
      <c r="V11" s="53"/>
      <c r="W11" s="54" t="s">
        <v>7</v>
      </c>
      <c r="X11" s="39">
        <v>19930760000</v>
      </c>
      <c r="Y11" s="53"/>
      <c r="Z11" s="9">
        <f>R11+X11</f>
        <v>32479899000</v>
      </c>
    </row>
    <row r="12" spans="1:26" ht="15" thickBot="1" x14ac:dyDescent="0.4">
      <c r="A12" s="46">
        <v>2014</v>
      </c>
      <c r="B12" s="5"/>
      <c r="C12" s="48" t="s">
        <v>8</v>
      </c>
      <c r="D12" s="39">
        <v>3007737000</v>
      </c>
      <c r="E12" s="8"/>
      <c r="F12" s="38" t="s">
        <v>9</v>
      </c>
      <c r="G12" s="39">
        <v>2405141000</v>
      </c>
      <c r="H12" s="8"/>
      <c r="I12" s="38"/>
      <c r="J12" s="39"/>
      <c r="K12" s="3"/>
      <c r="L12" s="9">
        <f t="shared" si="2"/>
        <v>5412878000</v>
      </c>
      <c r="N12" s="9">
        <v>4714452366000</v>
      </c>
      <c r="Q12" s="54" t="s">
        <v>6</v>
      </c>
      <c r="R12" s="39">
        <v>13148714000</v>
      </c>
      <c r="S12" s="1"/>
      <c r="T12" s="54"/>
      <c r="U12" s="39"/>
      <c r="V12" s="53"/>
      <c r="W12" s="54" t="s">
        <v>7</v>
      </c>
      <c r="X12" s="39">
        <v>19405864000</v>
      </c>
      <c r="Y12" s="53"/>
      <c r="Z12" s="9">
        <f>R12+X12</f>
        <v>32554578000</v>
      </c>
    </row>
    <row r="13" spans="1:26" ht="15" thickBot="1" x14ac:dyDescent="0.4">
      <c r="A13" s="46">
        <v>2013</v>
      </c>
      <c r="B13" s="5"/>
      <c r="C13" s="48" t="s">
        <v>8</v>
      </c>
      <c r="D13" s="39">
        <v>2710849000</v>
      </c>
      <c r="E13" s="8"/>
      <c r="F13" s="38" t="s">
        <v>10</v>
      </c>
      <c r="G13" s="39">
        <v>2711530000</v>
      </c>
      <c r="H13" s="8"/>
      <c r="I13" s="38"/>
      <c r="J13" s="39"/>
      <c r="K13" s="3"/>
      <c r="L13" s="9">
        <f t="shared" si="2"/>
        <v>5422379000</v>
      </c>
      <c r="N13" s="9">
        <v>4335614484000</v>
      </c>
      <c r="Q13" s="54" t="s">
        <v>6</v>
      </c>
      <c r="R13" s="39">
        <v>20022340000</v>
      </c>
      <c r="S13" s="1"/>
      <c r="T13" s="54"/>
      <c r="U13" s="39"/>
      <c r="V13" s="53"/>
      <c r="W13" s="54" t="s">
        <v>7</v>
      </c>
      <c r="X13" s="39">
        <v>9923617000</v>
      </c>
      <c r="Y13" s="53"/>
      <c r="Z13" s="9">
        <f>R13+X13</f>
        <v>29945957000</v>
      </c>
    </row>
    <row r="14" spans="1:26" ht="15" thickBot="1" x14ac:dyDescent="0.4">
      <c r="A14" s="46">
        <v>2012</v>
      </c>
      <c r="B14" s="5"/>
      <c r="C14" s="48" t="s">
        <v>8</v>
      </c>
      <c r="D14" s="39">
        <v>4289735000</v>
      </c>
      <c r="E14" s="8"/>
      <c r="F14" s="38" t="s">
        <v>9</v>
      </c>
      <c r="G14" s="39">
        <v>3407118000</v>
      </c>
      <c r="H14" s="8"/>
      <c r="I14" s="38"/>
      <c r="J14" s="39"/>
      <c r="K14" s="3"/>
      <c r="L14" s="9">
        <f t="shared" si="2"/>
        <v>7696853000</v>
      </c>
      <c r="N14" s="9">
        <v>4925110475000</v>
      </c>
      <c r="Q14" s="54" t="s">
        <v>6</v>
      </c>
      <c r="R14" s="39">
        <v>28387232000</v>
      </c>
      <c r="S14" s="1"/>
      <c r="T14" s="54"/>
      <c r="U14" s="39"/>
      <c r="V14" s="53"/>
      <c r="W14" s="54" t="s">
        <v>7</v>
      </c>
      <c r="X14" s="39">
        <v>12342022000</v>
      </c>
      <c r="Y14" s="53"/>
      <c r="Z14" s="9">
        <f>R14+X14</f>
        <v>40729254000</v>
      </c>
    </row>
    <row r="15" spans="1:26" ht="15" thickBot="1" x14ac:dyDescent="0.4">
      <c r="A15" s="46">
        <v>2011</v>
      </c>
      <c r="B15" s="5"/>
      <c r="C15" s="48" t="s">
        <v>8</v>
      </c>
      <c r="D15" s="39">
        <v>3992419000</v>
      </c>
      <c r="E15" s="8"/>
      <c r="F15" s="38" t="s">
        <v>9</v>
      </c>
      <c r="G15" s="39">
        <v>3366759000</v>
      </c>
      <c r="H15" s="8"/>
      <c r="I15" s="38"/>
      <c r="J15" s="39"/>
      <c r="K15" s="3"/>
      <c r="L15" s="9">
        <f t="shared" si="2"/>
        <v>7359178000</v>
      </c>
      <c r="N15" s="9">
        <v>3434306634000</v>
      </c>
      <c r="Q15" s="54" t="s">
        <v>6</v>
      </c>
      <c r="R15" s="39">
        <v>28874103000</v>
      </c>
      <c r="S15" s="1"/>
      <c r="T15" s="54"/>
      <c r="U15" s="39"/>
      <c r="V15" s="53"/>
      <c r="W15" s="54" t="s">
        <v>7</v>
      </c>
      <c r="X15" s="39">
        <v>6912595000</v>
      </c>
      <c r="Y15" s="53"/>
      <c r="Z15" s="9">
        <f>R15+X15</f>
        <v>35786698000</v>
      </c>
    </row>
    <row r="16" spans="1:26" ht="15" thickBot="1" x14ac:dyDescent="0.4">
      <c r="A16" s="46">
        <v>2010</v>
      </c>
      <c r="B16" s="5"/>
      <c r="C16" s="48" t="s">
        <v>8</v>
      </c>
      <c r="D16" s="39">
        <v>2067612000</v>
      </c>
      <c r="E16" s="8"/>
      <c r="F16" s="38" t="s">
        <v>9</v>
      </c>
      <c r="G16" s="39">
        <v>4027488000</v>
      </c>
      <c r="H16" s="8"/>
      <c r="I16" s="38"/>
      <c r="J16" s="39"/>
      <c r="K16" s="3"/>
      <c r="L16" s="9">
        <f t="shared" si="2"/>
        <v>6095100000</v>
      </c>
      <c r="N16" s="9">
        <v>3445999823000</v>
      </c>
      <c r="Q16" s="54" t="s">
        <v>6</v>
      </c>
      <c r="R16" s="39">
        <v>19345233000</v>
      </c>
      <c r="S16" s="1"/>
      <c r="T16" s="54"/>
      <c r="U16" s="39"/>
      <c r="V16" s="53"/>
      <c r="W16" s="54" t="s">
        <v>7</v>
      </c>
      <c r="X16" s="39">
        <v>5572020000</v>
      </c>
      <c r="Y16" s="53"/>
      <c r="Z16" s="9">
        <f>R16+X16</f>
        <v>24917253000</v>
      </c>
    </row>
    <row r="17" spans="1:26" ht="15" thickBot="1" x14ac:dyDescent="0.4">
      <c r="A17" s="46">
        <v>2009</v>
      </c>
      <c r="B17" s="5"/>
      <c r="C17" s="38" t="s">
        <v>11</v>
      </c>
      <c r="D17" s="39">
        <v>5697994000</v>
      </c>
      <c r="E17" s="8"/>
      <c r="F17" s="38" t="s">
        <v>12</v>
      </c>
      <c r="G17" s="39">
        <v>1585673000</v>
      </c>
      <c r="H17" s="8"/>
      <c r="I17" s="38"/>
      <c r="J17" s="39"/>
      <c r="K17" s="3"/>
      <c r="L17" s="9">
        <f t="shared" si="2"/>
        <v>7283667000</v>
      </c>
      <c r="N17" s="9">
        <v>2661257650000</v>
      </c>
      <c r="Q17" s="54" t="s">
        <v>6</v>
      </c>
      <c r="R17" s="39">
        <v>8215955000</v>
      </c>
      <c r="S17" s="1"/>
      <c r="T17" s="54"/>
      <c r="U17" s="39"/>
      <c r="V17" s="53"/>
      <c r="W17" s="54" t="s">
        <v>7</v>
      </c>
      <c r="X17" s="39">
        <v>5155451000</v>
      </c>
      <c r="Y17" s="53"/>
      <c r="Z17" s="9">
        <f>R17+X17</f>
        <v>13371406000</v>
      </c>
    </row>
    <row r="18" spans="1:26" ht="15" thickBot="1" x14ac:dyDescent="0.4">
      <c r="A18" s="46">
        <v>2008</v>
      </c>
      <c r="B18" s="5"/>
      <c r="C18" s="38" t="s">
        <v>11</v>
      </c>
      <c r="D18" s="39">
        <v>4935845000</v>
      </c>
      <c r="E18" s="8"/>
      <c r="F18" s="38" t="s">
        <v>12</v>
      </c>
      <c r="G18" s="39">
        <v>1442188000</v>
      </c>
      <c r="H18" s="8"/>
      <c r="I18" s="38"/>
      <c r="J18" s="39"/>
      <c r="K18" s="3"/>
      <c r="L18" s="9">
        <f t="shared" si="2"/>
        <v>6378033000</v>
      </c>
      <c r="N18" s="9">
        <v>2363188196000</v>
      </c>
      <c r="Q18" s="54" t="s">
        <v>6</v>
      </c>
      <c r="R18" s="39">
        <v>8338229000</v>
      </c>
      <c r="S18" s="1"/>
      <c r="T18" s="54"/>
      <c r="U18" s="39"/>
      <c r="V18" s="53"/>
      <c r="W18" s="54" t="s">
        <v>7</v>
      </c>
      <c r="X18" s="39">
        <v>4330012000</v>
      </c>
      <c r="Y18" s="53"/>
      <c r="Z18" s="9">
        <f>R18+X18</f>
        <v>12668241000</v>
      </c>
    </row>
    <row r="19" spans="1:26" ht="15" thickBot="1" x14ac:dyDescent="0.4">
      <c r="A19" s="46">
        <v>2007</v>
      </c>
      <c r="B19" s="5"/>
      <c r="C19" s="38" t="s">
        <v>11</v>
      </c>
      <c r="D19" s="39">
        <v>2381494000</v>
      </c>
      <c r="E19" s="8"/>
      <c r="F19" s="38" t="s">
        <v>12</v>
      </c>
      <c r="G19" s="39">
        <v>1191574000</v>
      </c>
      <c r="H19" s="8"/>
      <c r="I19" s="38"/>
      <c r="J19" s="39"/>
      <c r="K19" s="3"/>
      <c r="L19" s="9">
        <f t="shared" si="2"/>
        <v>3573068000</v>
      </c>
      <c r="N19" s="9">
        <v>1652698265000</v>
      </c>
      <c r="Q19" s="54" t="s">
        <v>6</v>
      </c>
      <c r="R19" s="39">
        <v>7374778000</v>
      </c>
      <c r="S19" s="1"/>
      <c r="T19" s="54"/>
      <c r="U19" s="39"/>
      <c r="V19" s="53"/>
      <c r="W19" s="54" t="s">
        <v>7</v>
      </c>
      <c r="X19" s="39">
        <v>3489757000</v>
      </c>
      <c r="Y19" s="53"/>
      <c r="Z19" s="9">
        <f>R19+X19</f>
        <v>10864535000</v>
      </c>
    </row>
    <row r="20" spans="1:26" ht="15" thickBot="1" x14ac:dyDescent="0.4">
      <c r="A20" s="46">
        <v>2006</v>
      </c>
      <c r="B20" s="5"/>
      <c r="C20" s="38" t="s">
        <v>13</v>
      </c>
      <c r="D20" s="39">
        <v>818283000</v>
      </c>
      <c r="E20" s="8"/>
      <c r="F20" s="38" t="s">
        <v>14</v>
      </c>
      <c r="G20" s="39">
        <f>1069551000+958384000</f>
        <v>2027935000</v>
      </c>
      <c r="H20" s="8"/>
      <c r="I20" s="38"/>
      <c r="J20" s="39"/>
      <c r="K20" s="3"/>
      <c r="L20" s="9">
        <f t="shared" si="2"/>
        <v>2846218000</v>
      </c>
      <c r="N20" s="9">
        <v>1439548823000</v>
      </c>
      <c r="Q20" s="54" t="s">
        <v>6</v>
      </c>
      <c r="R20" s="39">
        <v>5623943000</v>
      </c>
      <c r="S20" s="1"/>
      <c r="T20" s="54"/>
      <c r="U20" s="39"/>
      <c r="V20" s="53"/>
      <c r="W20" s="54" t="s">
        <v>7</v>
      </c>
      <c r="X20" s="39">
        <v>2798151000</v>
      </c>
      <c r="Y20" s="53"/>
      <c r="Z20" s="9">
        <f>R20+X20</f>
        <v>8422094000</v>
      </c>
    </row>
    <row r="21" spans="1:26" ht="15" thickBot="1" x14ac:dyDescent="0.4">
      <c r="A21" s="46">
        <v>2005</v>
      </c>
      <c r="B21" s="5"/>
      <c r="C21" s="38" t="s">
        <v>13</v>
      </c>
      <c r="D21" s="39">
        <v>767006000</v>
      </c>
      <c r="E21" s="8"/>
      <c r="F21" s="38" t="s">
        <v>14</v>
      </c>
      <c r="G21" s="39">
        <f>706729000+479592000</f>
        <v>1186321000</v>
      </c>
      <c r="H21" s="8"/>
      <c r="I21" s="38"/>
      <c r="J21" s="39"/>
      <c r="K21" s="3"/>
      <c r="L21" s="9">
        <f t="shared" si="2"/>
        <v>1953327000</v>
      </c>
      <c r="N21" s="9">
        <v>1255273000000</v>
      </c>
      <c r="Q21" s="54" t="s">
        <v>6</v>
      </c>
      <c r="R21" s="39">
        <v>1814563000</v>
      </c>
      <c r="S21" s="1"/>
      <c r="T21" s="54"/>
      <c r="U21" s="39"/>
      <c r="V21" s="53"/>
      <c r="W21" s="54" t="s">
        <v>7</v>
      </c>
      <c r="X21" s="39">
        <v>2716461000</v>
      </c>
      <c r="Y21" s="53"/>
      <c r="Z21" s="9">
        <f>R21+X21</f>
        <v>4531024000</v>
      </c>
    </row>
    <row r="22" spans="1:26" ht="15" thickBot="1" x14ac:dyDescent="0.4">
      <c r="A22" s="46">
        <v>2004</v>
      </c>
      <c r="B22" s="5"/>
      <c r="C22" s="38" t="s">
        <v>13</v>
      </c>
      <c r="D22" s="39">
        <v>722253000</v>
      </c>
      <c r="E22" s="8"/>
      <c r="F22" s="38" t="s">
        <v>14</v>
      </c>
      <c r="G22" s="39">
        <f>611564000+339989000</f>
        <v>951553000</v>
      </c>
      <c r="H22" s="8"/>
      <c r="I22" s="38"/>
      <c r="J22" s="39"/>
      <c r="K22" s="3"/>
      <c r="L22" s="9">
        <f t="shared" si="2"/>
        <v>1673806000</v>
      </c>
      <c r="N22" s="9">
        <v>1200000000000</v>
      </c>
      <c r="Q22" s="54" t="s">
        <v>6</v>
      </c>
      <c r="R22" s="39">
        <v>15909544000</v>
      </c>
      <c r="S22" s="1"/>
      <c r="T22" s="54"/>
      <c r="U22" s="39"/>
      <c r="V22" s="53"/>
      <c r="W22" s="54" t="s">
        <v>7</v>
      </c>
      <c r="X22" s="39">
        <v>2350256000</v>
      </c>
      <c r="Y22" s="53"/>
      <c r="Z22" s="9">
        <f>R22+X22</f>
        <v>18259800000</v>
      </c>
    </row>
    <row r="23" spans="1:26" ht="15" thickBot="1" x14ac:dyDescent="0.4">
      <c r="A23" s="46">
        <v>2003</v>
      </c>
      <c r="B23" s="5"/>
      <c r="C23" s="38" t="s">
        <v>13</v>
      </c>
      <c r="D23" s="39">
        <v>750960000</v>
      </c>
      <c r="E23" s="8"/>
      <c r="F23" s="38" t="s">
        <v>14</v>
      </c>
      <c r="G23" s="39">
        <f>452173000+601435000</f>
        <v>1053608000</v>
      </c>
      <c r="H23" s="8"/>
      <c r="I23" s="38"/>
      <c r="J23" s="39"/>
      <c r="K23" s="3"/>
      <c r="L23" s="9">
        <f t="shared" si="2"/>
        <v>1804568000</v>
      </c>
      <c r="N23" s="9">
        <v>1141685900000</v>
      </c>
      <c r="Q23" s="54" t="s">
        <v>6</v>
      </c>
      <c r="R23" s="39">
        <v>3845438000</v>
      </c>
      <c r="S23" s="1"/>
      <c r="T23" s="54"/>
      <c r="U23" s="39"/>
      <c r="V23" s="53"/>
      <c r="W23" s="54" t="s">
        <v>7</v>
      </c>
      <c r="X23" s="39">
        <v>2316271000</v>
      </c>
      <c r="Y23" s="53"/>
      <c r="Z23" s="9">
        <f>R23+X23</f>
        <v>6161709000</v>
      </c>
    </row>
    <row r="24" spans="1:26" ht="15" thickBot="1" x14ac:dyDescent="0.4">
      <c r="A24" s="46">
        <v>2002</v>
      </c>
      <c r="B24" s="5"/>
      <c r="C24" s="38" t="s">
        <v>15</v>
      </c>
      <c r="D24" s="39">
        <v>715794000</v>
      </c>
      <c r="E24" s="8"/>
      <c r="F24" s="38" t="s">
        <v>9</v>
      </c>
      <c r="G24" s="39">
        <v>572573000</v>
      </c>
      <c r="H24" s="8"/>
      <c r="I24" s="38" t="s">
        <v>16</v>
      </c>
      <c r="J24" s="39">
        <v>439496000</v>
      </c>
      <c r="K24" s="3"/>
      <c r="L24" s="9">
        <f>G24+D24+J24</f>
        <v>1727863000</v>
      </c>
      <c r="N24" s="9">
        <v>1053366167000</v>
      </c>
      <c r="Q24" s="54" t="s">
        <v>6</v>
      </c>
      <c r="R24" s="39">
        <v>3717290000</v>
      </c>
      <c r="S24" s="1"/>
      <c r="T24" s="54"/>
      <c r="U24" s="39"/>
      <c r="V24" s="53"/>
      <c r="W24" s="54" t="s">
        <v>7</v>
      </c>
      <c r="X24" s="39">
        <v>2248580000</v>
      </c>
      <c r="Y24" s="53"/>
      <c r="Z24" s="9">
        <f>R24+X24</f>
        <v>5965870000</v>
      </c>
    </row>
    <row r="25" spans="1:26" ht="15" thickBot="1" x14ac:dyDescent="0.4">
      <c r="A25" s="46">
        <v>2001</v>
      </c>
      <c r="B25" s="5"/>
      <c r="C25" s="38" t="s">
        <v>1</v>
      </c>
      <c r="D25" s="39">
        <v>564808000</v>
      </c>
      <c r="E25" s="8"/>
      <c r="F25" s="38" t="s">
        <v>9</v>
      </c>
      <c r="G25" s="39">
        <v>415409000</v>
      </c>
      <c r="H25" s="8"/>
      <c r="I25" s="38" t="s">
        <v>17</v>
      </c>
      <c r="J25" s="39">
        <v>147450000</v>
      </c>
      <c r="K25" s="3"/>
      <c r="L25" s="9">
        <f t="shared" ref="L25:L26" si="3">G25+D25+J25</f>
        <v>1127667000</v>
      </c>
      <c r="N25" s="9">
        <v>948760000000</v>
      </c>
      <c r="Q25" s="54" t="s">
        <v>6</v>
      </c>
      <c r="R25" s="39">
        <v>3587768000</v>
      </c>
      <c r="S25" s="1"/>
      <c r="T25" s="54"/>
      <c r="U25" s="39"/>
      <c r="V25" s="53"/>
      <c r="W25" s="54" t="s">
        <v>7</v>
      </c>
      <c r="X25" s="39">
        <v>2211745000</v>
      </c>
      <c r="Y25" s="53"/>
      <c r="Z25" s="9">
        <f>R25+X25</f>
        <v>5799513000</v>
      </c>
    </row>
    <row r="26" spans="1:26" ht="15" thickBot="1" x14ac:dyDescent="0.4">
      <c r="A26" s="46">
        <v>2000</v>
      </c>
      <c r="B26" s="5"/>
      <c r="C26" s="38" t="s">
        <v>1</v>
      </c>
      <c r="D26" s="39">
        <v>474886000</v>
      </c>
      <c r="E26" s="8"/>
      <c r="F26" s="38" t="s">
        <v>18</v>
      </c>
      <c r="G26" s="37">
        <v>2324471000</v>
      </c>
      <c r="H26" s="8"/>
      <c r="I26" s="38" t="s">
        <v>17</v>
      </c>
      <c r="J26" s="39">
        <v>70383000</v>
      </c>
      <c r="K26" s="3"/>
      <c r="L26" s="9">
        <f t="shared" si="3"/>
        <v>2869740000</v>
      </c>
      <c r="N26" s="9">
        <v>830084800000</v>
      </c>
      <c r="Q26" s="54" t="s">
        <v>6</v>
      </c>
      <c r="R26" s="39">
        <v>3462836000</v>
      </c>
      <c r="S26" s="1"/>
      <c r="T26" s="54"/>
      <c r="U26" s="39"/>
      <c r="V26" s="53"/>
      <c r="W26" s="54" t="s">
        <v>7</v>
      </c>
      <c r="X26" s="39">
        <v>2324471000</v>
      </c>
      <c r="Y26" s="53"/>
      <c r="Z26" s="9">
        <f>R26+X26</f>
        <v>5787307000</v>
      </c>
    </row>
    <row r="27" spans="1:26" ht="15" thickBot="1" x14ac:dyDescent="0.4">
      <c r="A27" s="47">
        <v>1999</v>
      </c>
      <c r="C27" s="38" t="s">
        <v>1</v>
      </c>
      <c r="D27" s="40">
        <v>455878000</v>
      </c>
      <c r="E27" s="8"/>
      <c r="F27" s="38" t="s">
        <v>18</v>
      </c>
      <c r="G27" s="40">
        <v>5203036000</v>
      </c>
      <c r="H27" s="8"/>
      <c r="I27" s="38" t="s">
        <v>17</v>
      </c>
      <c r="J27" s="40">
        <v>62470000</v>
      </c>
      <c r="K27" s="3"/>
      <c r="L27" s="50">
        <f>G27+D27+J27</f>
        <v>5721384000</v>
      </c>
      <c r="N27" s="50">
        <v>633430520000</v>
      </c>
      <c r="Q27" s="54" t="s">
        <v>6</v>
      </c>
      <c r="R27" s="40">
        <v>3458903000</v>
      </c>
      <c r="T27" s="54"/>
      <c r="U27" s="40"/>
      <c r="V27" s="53"/>
      <c r="W27" s="54"/>
      <c r="X27" s="40"/>
      <c r="Y27" s="53"/>
      <c r="Z27" s="50">
        <f>R27+X27</f>
        <v>3458903000</v>
      </c>
    </row>
    <row r="29" spans="1:26" x14ac:dyDescent="0.35">
      <c r="C29" s="4"/>
      <c r="F29" s="4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36F4D-C10B-4A1A-B2DB-CE37C609EB3D}">
  <dimension ref="A1:R26"/>
  <sheetViews>
    <sheetView workbookViewId="0">
      <selection activeCell="R9" sqref="R9"/>
    </sheetView>
  </sheetViews>
  <sheetFormatPr defaultRowHeight="14.5" x14ac:dyDescent="0.35"/>
  <cols>
    <col min="1" max="1" width="8.7265625" style="10"/>
    <col min="2" max="2" width="9.81640625" customWidth="1"/>
    <col min="3" max="3" width="9.08984375" customWidth="1"/>
    <col min="4" max="4" width="10.54296875" customWidth="1"/>
    <col min="5" max="5" width="10.08984375" customWidth="1"/>
    <col min="6" max="7" width="9.81640625" bestFit="1" customWidth="1"/>
    <col min="8" max="8" width="8.81640625" customWidth="1"/>
    <col min="9" max="9" width="10.08984375" customWidth="1"/>
    <col min="10" max="11" width="3.6328125" customWidth="1"/>
    <col min="12" max="12" width="3.36328125" customWidth="1"/>
    <col min="13" max="13" width="21.1796875" bestFit="1" customWidth="1"/>
    <col min="14" max="14" width="23.6328125" bestFit="1" customWidth="1"/>
    <col min="15" max="16" width="22.1796875" bestFit="1" customWidth="1"/>
    <col min="17" max="17" width="17.26953125" customWidth="1"/>
    <col min="18" max="18" width="11.81640625" bestFit="1" customWidth="1"/>
  </cols>
  <sheetData>
    <row r="1" spans="1:18" x14ac:dyDescent="0.35">
      <c r="B1" t="s">
        <v>48</v>
      </c>
      <c r="E1" t="s">
        <v>52</v>
      </c>
      <c r="H1" t="s">
        <v>53</v>
      </c>
      <c r="M1" s="57" t="s">
        <v>64</v>
      </c>
      <c r="N1" s="57"/>
      <c r="O1" s="57"/>
      <c r="P1" s="57"/>
    </row>
    <row r="2" spans="1:18" ht="30.5" customHeight="1" x14ac:dyDescent="0.35">
      <c r="A2" s="31" t="s">
        <v>0</v>
      </c>
      <c r="B2" s="49" t="s">
        <v>44</v>
      </c>
      <c r="C2" s="49"/>
      <c r="D2" s="49" t="s">
        <v>45</v>
      </c>
      <c r="E2" s="49"/>
      <c r="F2" s="49" t="s">
        <v>46</v>
      </c>
      <c r="G2" s="49"/>
      <c r="H2" s="49" t="s">
        <v>47</v>
      </c>
      <c r="I2" s="49"/>
      <c r="M2" s="59" t="s">
        <v>44</v>
      </c>
      <c r="N2" s="59" t="s">
        <v>45</v>
      </c>
      <c r="O2" s="59" t="s">
        <v>46</v>
      </c>
      <c r="P2" s="59" t="s">
        <v>47</v>
      </c>
      <c r="Q2" s="34"/>
    </row>
    <row r="3" spans="1:18" ht="16.5" customHeight="1" x14ac:dyDescent="0.35">
      <c r="A3" s="31" t="s">
        <v>49</v>
      </c>
      <c r="B3" s="33" t="s">
        <v>50</v>
      </c>
      <c r="C3" s="33" t="s">
        <v>51</v>
      </c>
      <c r="D3" s="33" t="s">
        <v>50</v>
      </c>
      <c r="E3" s="33" t="s">
        <v>51</v>
      </c>
      <c r="F3" s="33" t="s">
        <v>50</v>
      </c>
      <c r="G3" s="33" t="s">
        <v>51</v>
      </c>
      <c r="H3" s="33" t="s">
        <v>50</v>
      </c>
      <c r="I3" s="33" t="s">
        <v>51</v>
      </c>
      <c r="M3" s="60" t="s">
        <v>57</v>
      </c>
      <c r="N3" s="60" t="s">
        <v>54</v>
      </c>
      <c r="O3" s="60" t="s">
        <v>55</v>
      </c>
      <c r="P3" s="60" t="s">
        <v>56</v>
      </c>
      <c r="Q3" s="61" t="s">
        <v>59</v>
      </c>
      <c r="R3" s="60" t="s">
        <v>58</v>
      </c>
    </row>
    <row r="4" spans="1:18" x14ac:dyDescent="0.35">
      <c r="A4" s="32">
        <v>2000</v>
      </c>
      <c r="B4" s="7">
        <v>3777000</v>
      </c>
      <c r="C4" s="7">
        <v>2755000</v>
      </c>
      <c r="D4" s="7">
        <v>64995000</v>
      </c>
      <c r="E4" s="7">
        <v>57707000</v>
      </c>
      <c r="F4" s="7">
        <v>12400000</v>
      </c>
      <c r="G4" s="7">
        <v>10034000</v>
      </c>
      <c r="H4" s="7">
        <v>74383000</v>
      </c>
      <c r="I4" s="7">
        <v>74364000</v>
      </c>
      <c r="M4" s="55">
        <f>B4*1000</f>
        <v>3777000000</v>
      </c>
      <c r="N4" s="55">
        <f>D4*1000</f>
        <v>64995000000</v>
      </c>
      <c r="O4" s="55">
        <f>F4*1000</f>
        <v>12400000000</v>
      </c>
      <c r="P4" s="55">
        <f>H4*1000</f>
        <v>74383000000</v>
      </c>
      <c r="Q4" s="36">
        <f>O4/R4</f>
        <v>160590515.50041139</v>
      </c>
      <c r="R4" s="56">
        <v>77.215020833333298</v>
      </c>
    </row>
    <row r="5" spans="1:18" x14ac:dyDescent="0.35">
      <c r="A5" s="32">
        <v>2001</v>
      </c>
      <c r="B5" s="7">
        <v>5225000</v>
      </c>
      <c r="C5" s="7">
        <v>4156000</v>
      </c>
      <c r="D5" s="7">
        <v>83877000</v>
      </c>
      <c r="E5" s="7">
        <v>82550000</v>
      </c>
      <c r="F5" s="7">
        <v>18850000</v>
      </c>
      <c r="G5" s="7">
        <v>16400000</v>
      </c>
      <c r="H5" s="7">
        <v>86400000</v>
      </c>
      <c r="I5" s="7">
        <v>118940000</v>
      </c>
      <c r="M5" s="55">
        <f>B5*1000</f>
        <v>5225000000</v>
      </c>
      <c r="N5" s="55">
        <f>D5*1000</f>
        <v>83877000000</v>
      </c>
      <c r="O5" s="55">
        <f>F5*1000</f>
        <v>18850000000</v>
      </c>
      <c r="P5" s="55">
        <f>H5*1000</f>
        <v>86400000000</v>
      </c>
      <c r="Q5" s="36">
        <f t="shared" ref="Q5:Q26" si="0">O5/R5</f>
        <v>236565644.14252171</v>
      </c>
      <c r="R5" s="56">
        <v>79.681899999999999</v>
      </c>
    </row>
    <row r="6" spans="1:18" x14ac:dyDescent="0.35">
      <c r="A6" s="32">
        <v>2002</v>
      </c>
      <c r="B6" s="7">
        <v>15494000</v>
      </c>
      <c r="C6" s="7">
        <v>20865000</v>
      </c>
      <c r="D6" s="7">
        <v>102526000</v>
      </c>
      <c r="E6" s="7">
        <v>165246000</v>
      </c>
      <c r="F6" s="7">
        <v>25689000</v>
      </c>
      <c r="G6" s="7">
        <v>33189000</v>
      </c>
      <c r="H6" s="7">
        <v>91250000</v>
      </c>
      <c r="I6" s="7">
        <v>42002000</v>
      </c>
      <c r="M6" s="55">
        <f>B6*1000</f>
        <v>15494000000</v>
      </c>
      <c r="N6" s="55">
        <f>D6*1000</f>
        <v>102526000000</v>
      </c>
      <c r="O6" s="55">
        <f>F6*1000</f>
        <v>25689000000</v>
      </c>
      <c r="P6" s="55">
        <f>H6*1000</f>
        <v>91250000000</v>
      </c>
      <c r="Q6" s="36">
        <f t="shared" si="0"/>
        <v>331920773.92621422</v>
      </c>
      <c r="R6" s="56">
        <v>77.394975000000002</v>
      </c>
    </row>
    <row r="7" spans="1:18" x14ac:dyDescent="0.35">
      <c r="A7" s="32">
        <v>2003</v>
      </c>
      <c r="B7" s="7">
        <v>22128000</v>
      </c>
      <c r="C7" s="7">
        <v>16360000</v>
      </c>
      <c r="D7" s="7">
        <v>115193000</v>
      </c>
      <c r="E7" s="7">
        <v>196281000</v>
      </c>
      <c r="F7" s="7">
        <v>37915000</v>
      </c>
      <c r="G7" s="7">
        <v>29100000</v>
      </c>
      <c r="H7" s="7">
        <v>91980000</v>
      </c>
      <c r="I7" s="7">
        <v>69544000</v>
      </c>
      <c r="M7" s="55">
        <f>B7*1000</f>
        <v>22128000000</v>
      </c>
      <c r="N7" s="55">
        <f>D7*1000</f>
        <v>115193000000</v>
      </c>
      <c r="O7" s="55">
        <f>F7*1000</f>
        <v>37915000000</v>
      </c>
      <c r="P7" s="55">
        <f>H7*1000</f>
        <v>91980000000</v>
      </c>
      <c r="Q7" s="36">
        <f>O7/R7</f>
        <v>526154010.54528373</v>
      </c>
      <c r="R7" s="56">
        <v>72.060649999999995</v>
      </c>
    </row>
    <row r="8" spans="1:18" x14ac:dyDescent="0.35">
      <c r="A8" s="58">
        <v>2004</v>
      </c>
      <c r="B8" s="7">
        <v>16106000</v>
      </c>
      <c r="C8" s="7">
        <v>16170000</v>
      </c>
      <c r="D8" s="7">
        <v>131436000</v>
      </c>
      <c r="E8" s="7">
        <v>117831000</v>
      </c>
      <c r="F8" s="7">
        <v>42533000</v>
      </c>
      <c r="G8" s="7">
        <v>52621000</v>
      </c>
      <c r="H8" s="7">
        <v>75173000</v>
      </c>
      <c r="I8" s="7">
        <v>97978000</v>
      </c>
      <c r="M8" s="55">
        <f>B8*1000</f>
        <v>16106000000</v>
      </c>
      <c r="N8" s="55">
        <f>D8*1000</f>
        <v>131436000000</v>
      </c>
      <c r="O8" s="55">
        <f>F8*1000</f>
        <v>42533000000</v>
      </c>
      <c r="P8" s="55">
        <f>H8*1000</f>
        <v>75173000000</v>
      </c>
      <c r="Q8" s="36">
        <f t="shared" si="0"/>
        <v>580446817.90624261</v>
      </c>
      <c r="R8" s="56">
        <v>73.276308333333304</v>
      </c>
    </row>
    <row r="9" spans="1:18" x14ac:dyDescent="0.35">
      <c r="A9" s="32">
        <v>2005</v>
      </c>
      <c r="B9" s="7">
        <v>26133000</v>
      </c>
      <c r="C9" s="7">
        <v>37150000</v>
      </c>
      <c r="D9" s="7">
        <v>243927000</v>
      </c>
      <c r="E9" s="7">
        <v>677697000</v>
      </c>
      <c r="F9" s="7">
        <v>50823000</v>
      </c>
      <c r="G9" s="7">
        <v>58663000</v>
      </c>
      <c r="H9" s="7">
        <v>75675000</v>
      </c>
      <c r="I9" s="7">
        <v>162485000</v>
      </c>
      <c r="M9" s="55">
        <f>B9*1000</f>
        <v>26133000000</v>
      </c>
      <c r="N9" s="55">
        <f>D9*1000</f>
        <v>243927000000</v>
      </c>
      <c r="O9" s="55">
        <f>F9*1000</f>
        <v>50823000000</v>
      </c>
      <c r="P9" s="55">
        <f>H9*1000</f>
        <v>75675000000</v>
      </c>
      <c r="Q9" s="36">
        <f t="shared" si="0"/>
        <v>699592112.2272954</v>
      </c>
      <c r="R9" s="56">
        <v>72.646616666666702</v>
      </c>
    </row>
    <row r="10" spans="1:18" x14ac:dyDescent="0.35">
      <c r="A10" s="32">
        <v>2006</v>
      </c>
      <c r="B10" s="7">
        <v>55122800</v>
      </c>
      <c r="C10" s="7">
        <v>84981600</v>
      </c>
      <c r="D10" s="7">
        <v>544862600</v>
      </c>
      <c r="E10" s="7">
        <v>2031528300</v>
      </c>
      <c r="F10" s="7">
        <v>90518000</v>
      </c>
      <c r="G10" s="7">
        <v>225561500</v>
      </c>
      <c r="H10" s="7">
        <v>172690250</v>
      </c>
      <c r="I10" s="7">
        <v>356290750</v>
      </c>
      <c r="M10" s="55">
        <f>B10*1000</f>
        <v>55122800000</v>
      </c>
      <c r="N10" s="55">
        <f>D10*1000</f>
        <v>544862600000</v>
      </c>
      <c r="O10" s="55">
        <f>F10*1000</f>
        <v>90518000000</v>
      </c>
      <c r="P10" s="55">
        <f>H10*1000</f>
        <v>172690250000</v>
      </c>
      <c r="Q10" s="36">
        <f t="shared" si="0"/>
        <v>1306319307.7451496</v>
      </c>
      <c r="R10" s="56">
        <v>69.292400000000001</v>
      </c>
    </row>
    <row r="11" spans="1:18" x14ac:dyDescent="0.35">
      <c r="A11" s="32">
        <v>2007</v>
      </c>
      <c r="B11" s="7">
        <v>38747500</v>
      </c>
      <c r="C11" s="7">
        <v>48829000</v>
      </c>
      <c r="D11" s="7">
        <v>661146700</v>
      </c>
      <c r="E11" s="7">
        <v>1059957200</v>
      </c>
      <c r="F11" s="7">
        <v>89796000</v>
      </c>
      <c r="G11" s="7">
        <v>105826340</v>
      </c>
      <c r="H11" s="7">
        <v>303490160</v>
      </c>
      <c r="I11" s="7">
        <v>324843000</v>
      </c>
      <c r="M11" s="55">
        <f>B11*1000</f>
        <v>38747500000</v>
      </c>
      <c r="N11" s="55">
        <f>D11*1000</f>
        <v>661146700000</v>
      </c>
      <c r="O11" s="55">
        <f>F11*1000</f>
        <v>89796000000</v>
      </c>
      <c r="P11" s="55">
        <f>H11*1000</f>
        <v>303490160000</v>
      </c>
      <c r="Q11" s="36">
        <f t="shared" si="0"/>
        <v>1390401159.4418328</v>
      </c>
      <c r="R11" s="56">
        <v>64.582800000000006</v>
      </c>
    </row>
    <row r="12" spans="1:18" x14ac:dyDescent="0.35">
      <c r="A12" s="32">
        <v>2008</v>
      </c>
      <c r="B12" s="7">
        <v>32241000</v>
      </c>
      <c r="C12" s="7">
        <v>23938000</v>
      </c>
      <c r="D12" s="7">
        <v>597855000</v>
      </c>
      <c r="E12" s="7">
        <v>405061000</v>
      </c>
      <c r="F12" s="7">
        <v>89796000</v>
      </c>
      <c r="G12" s="7">
        <v>77775000</v>
      </c>
      <c r="H12" s="7">
        <v>283699000</v>
      </c>
      <c r="I12" s="7">
        <v>190996000</v>
      </c>
      <c r="M12" s="55">
        <f>B12*1000</f>
        <v>32241000000</v>
      </c>
      <c r="N12" s="55">
        <f>D12*1000</f>
        <v>597855000000</v>
      </c>
      <c r="O12" s="55">
        <f>F12*1000</f>
        <v>89796000000</v>
      </c>
      <c r="P12" s="55">
        <f>H12*1000</f>
        <v>283699000000</v>
      </c>
      <c r="Q12" s="36">
        <f t="shared" si="0"/>
        <v>1236052211.0788517</v>
      </c>
      <c r="R12" s="56">
        <v>72.6474166666667</v>
      </c>
    </row>
    <row r="13" spans="1:18" x14ac:dyDescent="0.35">
      <c r="A13" s="32">
        <v>2009</v>
      </c>
      <c r="B13" s="7">
        <v>38383600</v>
      </c>
      <c r="C13" s="7">
        <v>22758600</v>
      </c>
      <c r="D13" s="7">
        <v>728278500</v>
      </c>
      <c r="E13" s="7">
        <v>1093703300</v>
      </c>
      <c r="F13" s="7">
        <v>191386000</v>
      </c>
      <c r="G13" s="7">
        <v>220664000</v>
      </c>
      <c r="H13" s="7">
        <v>230477000</v>
      </c>
      <c r="I13" s="7">
        <v>618425000</v>
      </c>
      <c r="M13" s="55">
        <f>B13*1000</f>
        <v>38383600000</v>
      </c>
      <c r="N13" s="55">
        <f>D13*1000</f>
        <v>728278500000</v>
      </c>
      <c r="O13" s="55">
        <f>F13*1000</f>
        <v>191386000000</v>
      </c>
      <c r="P13" s="55">
        <f>H13*1000</f>
        <v>230477000000</v>
      </c>
      <c r="Q13" s="36">
        <f t="shared" si="0"/>
        <v>2572877193.0374889</v>
      </c>
      <c r="R13" s="56">
        <v>74.3859833333333</v>
      </c>
    </row>
    <row r="14" spans="1:18" x14ac:dyDescent="0.35">
      <c r="A14" s="32">
        <v>2010</v>
      </c>
      <c r="B14" s="7">
        <v>44747000</v>
      </c>
      <c r="C14" s="7">
        <v>86894000</v>
      </c>
      <c r="D14" s="7">
        <v>1096303800</v>
      </c>
      <c r="E14" s="7">
        <v>1476100800</v>
      </c>
      <c r="F14" s="7">
        <v>213250200</v>
      </c>
      <c r="G14" s="7">
        <v>255100200</v>
      </c>
      <c r="H14" s="7">
        <v>230465000</v>
      </c>
      <c r="I14" s="7">
        <v>108291000</v>
      </c>
      <c r="M14" s="55">
        <f>B14*1000</f>
        <v>44747000000</v>
      </c>
      <c r="N14" s="55">
        <f>D14*1000</f>
        <v>1096303800000</v>
      </c>
      <c r="O14" s="55">
        <f>F14*1000</f>
        <v>213250200000</v>
      </c>
      <c r="P14" s="55">
        <f>H14*1000</f>
        <v>230465000000</v>
      </c>
      <c r="Q14" s="36">
        <f t="shared" si="0"/>
        <v>2923723451.4391594</v>
      </c>
      <c r="R14" s="56">
        <v>72.937883333333303</v>
      </c>
    </row>
    <row r="15" spans="1:18" x14ac:dyDescent="0.35">
      <c r="A15" s="32">
        <v>2011</v>
      </c>
      <c r="B15" s="7">
        <v>40830000</v>
      </c>
      <c r="C15" s="7">
        <v>20485000</v>
      </c>
      <c r="D15" s="7">
        <v>982705260</v>
      </c>
      <c r="E15" s="7">
        <v>892459539</v>
      </c>
      <c r="F15" s="7">
        <v>363931800</v>
      </c>
      <c r="G15" s="7">
        <v>179875800</v>
      </c>
      <c r="H15" s="7">
        <v>520113000</v>
      </c>
      <c r="I15" s="7">
        <v>1298352000</v>
      </c>
      <c r="M15" s="55">
        <f>B15*1000</f>
        <v>40830000000</v>
      </c>
      <c r="N15" s="55">
        <f>D15*1000</f>
        <v>982705260000</v>
      </c>
      <c r="O15" s="55">
        <f>F15*1000</f>
        <v>363931800000</v>
      </c>
      <c r="P15" s="55">
        <f>H15*1000</f>
        <v>520113000000</v>
      </c>
      <c r="Q15" s="36">
        <f t="shared" si="0"/>
        <v>4693715905.6076756</v>
      </c>
      <c r="R15" s="56">
        <v>77.535966666666695</v>
      </c>
    </row>
    <row r="16" spans="1:18" x14ac:dyDescent="0.35">
      <c r="A16" s="32">
        <v>2012</v>
      </c>
      <c r="B16" s="7">
        <v>20329870</v>
      </c>
      <c r="C16" s="7">
        <v>6616870</v>
      </c>
      <c r="D16" s="7">
        <v>997055111</v>
      </c>
      <c r="E16" s="7">
        <v>1475802280</v>
      </c>
      <c r="F16" s="7">
        <v>92970500</v>
      </c>
      <c r="G16" s="7">
        <v>91125000</v>
      </c>
      <c r="H16" s="7">
        <v>230550000</v>
      </c>
      <c r="I16" s="7">
        <v>279665000</v>
      </c>
      <c r="M16" s="55">
        <f>B16*1000</f>
        <v>20329870000</v>
      </c>
      <c r="N16" s="55">
        <f>D16*1000</f>
        <v>997055111000</v>
      </c>
      <c r="O16" s="55">
        <f>F16*1000</f>
        <v>92970500000</v>
      </c>
      <c r="P16" s="55">
        <f>H16*1000</f>
        <v>230550000000</v>
      </c>
      <c r="Q16" s="36">
        <f t="shared" si="0"/>
        <v>1171379289.4905279</v>
      </c>
      <c r="R16" s="56">
        <v>79.368399999999994</v>
      </c>
    </row>
    <row r="17" spans="1:18" x14ac:dyDescent="0.35">
      <c r="A17" s="32">
        <v>2013</v>
      </c>
      <c r="B17" s="7">
        <v>22286060</v>
      </c>
      <c r="C17" s="7">
        <v>13741060</v>
      </c>
      <c r="D17" s="7">
        <v>713925100</v>
      </c>
      <c r="E17" s="7">
        <v>1113654100</v>
      </c>
      <c r="F17" s="7">
        <v>235901000</v>
      </c>
      <c r="G17" s="7">
        <v>113388000</v>
      </c>
      <c r="H17" s="7">
        <v>194070000</v>
      </c>
      <c r="I17" s="7">
        <v>87202000</v>
      </c>
      <c r="M17" s="55">
        <f>B17*1000</f>
        <v>22286060000</v>
      </c>
      <c r="N17" s="55">
        <f>D17*1000</f>
        <v>713925100000</v>
      </c>
      <c r="O17" s="55">
        <f>F17*1000</f>
        <v>235901000000</v>
      </c>
      <c r="P17" s="55">
        <f>H17*1000</f>
        <v>194070000000</v>
      </c>
      <c r="Q17" s="36">
        <f t="shared" si="0"/>
        <v>2927573576.3301473</v>
      </c>
      <c r="R17" s="56">
        <v>80.579016666666703</v>
      </c>
    </row>
    <row r="18" spans="1:18" x14ac:dyDescent="0.35">
      <c r="A18" s="32">
        <v>2014</v>
      </c>
      <c r="B18" s="7">
        <v>29347000</v>
      </c>
      <c r="C18" s="7">
        <v>34455000</v>
      </c>
      <c r="D18" s="7">
        <v>781640900</v>
      </c>
      <c r="E18" s="7">
        <v>920347600</v>
      </c>
      <c r="F18" s="7">
        <v>236615100</v>
      </c>
      <c r="G18" s="7">
        <v>219301600</v>
      </c>
      <c r="H18" s="7">
        <v>127536000</v>
      </c>
      <c r="I18" s="7">
        <v>116384500</v>
      </c>
      <c r="M18" s="55">
        <f>B18*1000</f>
        <v>29347000000</v>
      </c>
      <c r="N18" s="55">
        <f>D18*1000</f>
        <v>781640900000</v>
      </c>
      <c r="O18" s="55">
        <f>F18*1000</f>
        <v>236615100000</v>
      </c>
      <c r="P18" s="55">
        <f>H18*1000</f>
        <v>127536000000</v>
      </c>
      <c r="Q18" s="36">
        <f t="shared" si="0"/>
        <v>2349902987.4438257</v>
      </c>
      <c r="R18" s="56">
        <v>100.69143333333299</v>
      </c>
    </row>
    <row r="19" spans="1:18" x14ac:dyDescent="0.35">
      <c r="A19" s="32">
        <v>2015</v>
      </c>
      <c r="B19" s="7">
        <v>49802200</v>
      </c>
      <c r="C19" s="7">
        <v>32657500</v>
      </c>
      <c r="D19" s="7">
        <v>1078715730</v>
      </c>
      <c r="E19" s="7">
        <v>1854278110</v>
      </c>
      <c r="F19" s="7">
        <v>207589800</v>
      </c>
      <c r="G19" s="7">
        <v>151366500</v>
      </c>
      <c r="H19" s="7">
        <v>293678000</v>
      </c>
      <c r="I19" s="7">
        <v>234307880</v>
      </c>
      <c r="M19" s="55">
        <f>B19*1000</f>
        <v>49802200000</v>
      </c>
      <c r="N19" s="55">
        <f>D19*1000</f>
        <v>1078715730000</v>
      </c>
      <c r="O19" s="55">
        <f>F19*1000</f>
        <v>207589800000</v>
      </c>
      <c r="P19" s="55">
        <f>H19*1000</f>
        <v>293678000000</v>
      </c>
      <c r="Q19" s="36">
        <f t="shared" si="0"/>
        <v>1896783472.19802</v>
      </c>
      <c r="R19" s="56">
        <v>109.44306666666699</v>
      </c>
    </row>
    <row r="20" spans="1:18" x14ac:dyDescent="0.35">
      <c r="A20" s="32">
        <v>2016</v>
      </c>
      <c r="B20" s="7">
        <v>36223667</v>
      </c>
      <c r="C20" s="7">
        <v>14904700</v>
      </c>
      <c r="D20" s="7">
        <v>685704445</v>
      </c>
      <c r="E20" s="7">
        <v>44308514</v>
      </c>
      <c r="F20" s="7">
        <v>113120472</v>
      </c>
      <c r="G20" s="7">
        <v>32703237</v>
      </c>
      <c r="H20" s="7">
        <v>469781674</v>
      </c>
      <c r="I20" s="7">
        <v>24481500</v>
      </c>
      <c r="M20" s="55">
        <f>B20*1000</f>
        <v>36223667000</v>
      </c>
      <c r="N20" s="55">
        <f>D20*1000</f>
        <v>685704445000</v>
      </c>
      <c r="O20" s="55">
        <f>F20*1000</f>
        <v>113120472000</v>
      </c>
      <c r="P20" s="55">
        <f>H20*1000</f>
        <v>469781674000</v>
      </c>
      <c r="Q20" s="36">
        <f t="shared" si="0"/>
        <v>1019351148.5750035</v>
      </c>
      <c r="R20" s="56">
        <v>110.97301666666699</v>
      </c>
    </row>
    <row r="21" spans="1:18" x14ac:dyDescent="0.35">
      <c r="A21" s="32">
        <v>2017</v>
      </c>
      <c r="B21" s="7">
        <v>13403500</v>
      </c>
      <c r="C21" s="7">
        <v>5120500</v>
      </c>
      <c r="D21" s="7">
        <v>366811100</v>
      </c>
      <c r="E21" s="7">
        <v>139940800</v>
      </c>
      <c r="F21" s="7">
        <v>60482110</v>
      </c>
      <c r="G21" s="7">
        <v>30695710</v>
      </c>
      <c r="H21" s="7">
        <v>287257000</v>
      </c>
      <c r="I21" s="7">
        <v>14989500</v>
      </c>
      <c r="M21" s="55">
        <f>B21*1000</f>
        <v>13403500000</v>
      </c>
      <c r="N21" s="55">
        <f>D21*1000</f>
        <v>366811100000</v>
      </c>
      <c r="O21" s="55">
        <f>F21*1000</f>
        <v>60482110000</v>
      </c>
      <c r="P21" s="55">
        <f>H21*1000</f>
        <v>287257000000</v>
      </c>
      <c r="Q21" s="36">
        <f t="shared" si="0"/>
        <v>518742114.27066261</v>
      </c>
      <c r="R21" s="56">
        <v>116.593791666667</v>
      </c>
    </row>
    <row r="22" spans="1:18" x14ac:dyDescent="0.35">
      <c r="A22" s="32">
        <v>2018</v>
      </c>
      <c r="B22" s="7">
        <v>81660250</v>
      </c>
      <c r="C22" s="7">
        <v>73418857</v>
      </c>
      <c r="D22" s="7">
        <v>754179551</v>
      </c>
      <c r="E22" s="7">
        <v>635202648</v>
      </c>
      <c r="F22" s="7">
        <v>154366393</v>
      </c>
      <c r="G22" s="7">
        <v>81655418</v>
      </c>
      <c r="H22" s="7">
        <v>438882252</v>
      </c>
      <c r="I22" s="7">
        <v>103879340</v>
      </c>
      <c r="M22" s="55">
        <f>B22*1000</f>
        <v>81660250000</v>
      </c>
      <c r="N22" s="55">
        <f>D22*1000</f>
        <v>754179551000</v>
      </c>
      <c r="O22" s="55">
        <f>F22*1000</f>
        <v>154366393000</v>
      </c>
      <c r="P22" s="55">
        <f>H22*1000</f>
        <v>438882252000</v>
      </c>
      <c r="Q22" s="36">
        <f t="shared" si="0"/>
        <v>1293353923.884552</v>
      </c>
      <c r="R22" s="56">
        <v>119.353558333333</v>
      </c>
    </row>
    <row r="23" spans="1:18" x14ac:dyDescent="0.35">
      <c r="A23" s="32">
        <v>2019</v>
      </c>
      <c r="B23" s="7">
        <v>72755609</v>
      </c>
      <c r="C23" s="7">
        <v>55793219</v>
      </c>
      <c r="D23" s="7">
        <v>635781484</v>
      </c>
      <c r="E23" s="7">
        <v>485491071</v>
      </c>
      <c r="F23" s="7">
        <v>146552448</v>
      </c>
      <c r="G23" s="7">
        <v>70673722</v>
      </c>
      <c r="H23" s="7">
        <v>423428891</v>
      </c>
      <c r="I23" s="7">
        <v>99685110</v>
      </c>
      <c r="M23" s="55">
        <f>B23*1000</f>
        <v>72755609000</v>
      </c>
      <c r="N23" s="55">
        <f>D23*1000</f>
        <v>635781484000</v>
      </c>
      <c r="O23" s="55">
        <f>F23*1000</f>
        <v>146552448000</v>
      </c>
      <c r="P23" s="55">
        <f>H23*1000</f>
        <v>423428891000</v>
      </c>
      <c r="Q23" s="36">
        <f t="shared" si="0"/>
        <v>1155987909.459775</v>
      </c>
      <c r="R23" s="56">
        <v>126.77679999999999</v>
      </c>
    </row>
    <row r="24" spans="1:18" x14ac:dyDescent="0.35">
      <c r="A24" s="32">
        <v>2020</v>
      </c>
      <c r="B24" s="7">
        <v>55251322</v>
      </c>
      <c r="C24" s="7">
        <v>53930300</v>
      </c>
      <c r="D24" s="7">
        <v>602151806</v>
      </c>
      <c r="E24" s="7">
        <v>366929577</v>
      </c>
      <c r="F24" s="7">
        <v>129333016</v>
      </c>
      <c r="G24" s="7">
        <v>52081000</v>
      </c>
      <c r="H24" s="7">
        <v>329950660</v>
      </c>
      <c r="I24" s="7">
        <v>3224550</v>
      </c>
      <c r="M24" s="55">
        <f>B24*1000</f>
        <v>55251322000</v>
      </c>
      <c r="N24" s="55">
        <f>D24*1000</f>
        <v>602151806000</v>
      </c>
      <c r="O24" s="55">
        <f>F24*1000</f>
        <v>129333016000</v>
      </c>
      <c r="P24" s="55">
        <f>H24*1000</f>
        <v>329950660000</v>
      </c>
      <c r="Q24" s="36">
        <f t="shared" si="0"/>
        <v>957596742.18865693</v>
      </c>
      <c r="R24" s="56">
        <v>135.06</v>
      </c>
    </row>
    <row r="25" spans="1:18" x14ac:dyDescent="0.35">
      <c r="A25" s="32">
        <v>2021</v>
      </c>
      <c r="B25" s="7">
        <v>56054196</v>
      </c>
      <c r="C25" s="7">
        <v>53771900</v>
      </c>
      <c r="D25" s="7">
        <v>601801307</v>
      </c>
      <c r="E25" s="7">
        <v>429309954</v>
      </c>
      <c r="F25" s="7">
        <v>117268336</v>
      </c>
      <c r="G25" s="7">
        <v>41536844</v>
      </c>
      <c r="H25" s="7">
        <v>453244266</v>
      </c>
      <c r="I25" s="7">
        <v>212755820</v>
      </c>
      <c r="M25" s="55">
        <f>B25*1000</f>
        <v>56054196000</v>
      </c>
      <c r="N25" s="55">
        <f>D25*1000</f>
        <v>601801307000</v>
      </c>
      <c r="O25" s="55">
        <f>F25*1000</f>
        <v>117268336000</v>
      </c>
      <c r="P25" s="55">
        <f>H25*1000</f>
        <v>453244266000</v>
      </c>
      <c r="Q25" s="36">
        <f t="shared" si="0"/>
        <v>825891513.48686516</v>
      </c>
      <c r="R25" s="56">
        <v>141.99</v>
      </c>
    </row>
    <row r="26" spans="1:18" x14ac:dyDescent="0.35">
      <c r="A26" s="32">
        <v>2022</v>
      </c>
      <c r="B26" s="7">
        <v>36536643</v>
      </c>
      <c r="C26" s="7">
        <v>5249200</v>
      </c>
      <c r="D26" s="7">
        <v>736118670</v>
      </c>
      <c r="E26" s="7">
        <v>479429806</v>
      </c>
      <c r="F26" s="7">
        <v>156962428</v>
      </c>
      <c r="G26" s="7">
        <v>43758179</v>
      </c>
      <c r="H26" s="7">
        <v>196139325</v>
      </c>
      <c r="I26" s="7">
        <v>56492500</v>
      </c>
      <c r="M26" s="55">
        <f>B26*1000</f>
        <v>36536643000</v>
      </c>
      <c r="N26" s="55">
        <f>D26*1000</f>
        <v>736118670000</v>
      </c>
      <c r="O26" s="55">
        <f>F26*1000</f>
        <v>156962428000</v>
      </c>
      <c r="P26" s="55">
        <f>H26*1000</f>
        <v>196139325000</v>
      </c>
      <c r="Q26" s="36">
        <f t="shared" si="0"/>
        <v>1155494905.7714958</v>
      </c>
      <c r="R26" s="56">
        <v>135.84</v>
      </c>
    </row>
  </sheetData>
  <mergeCells count="5">
    <mergeCell ref="B2:C2"/>
    <mergeCell ref="D2:E2"/>
    <mergeCell ref="F2:G2"/>
    <mergeCell ref="H2:I2"/>
    <mergeCell ref="M1:P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2954B-1935-4AF4-8815-C25874A08B01}">
  <dimension ref="A1:CK86"/>
  <sheetViews>
    <sheetView zoomScale="90" zoomScaleNormal="90" workbookViewId="0">
      <pane xSplit="1" ySplit="1" topLeftCell="B16" activePane="bottomRight" state="frozen"/>
      <selection pane="topRight" activeCell="B1" sqref="B1"/>
      <selection pane="bottomLeft" activeCell="A2" sqref="A2"/>
      <selection pane="bottomRight" activeCell="E43" sqref="E43"/>
    </sheetView>
  </sheetViews>
  <sheetFormatPr defaultRowHeight="14.5" x14ac:dyDescent="0.35"/>
  <cols>
    <col min="1" max="1" width="46.81640625" style="10" customWidth="1"/>
    <col min="2" max="2" width="17.54296875" style="10" bestFit="1" customWidth="1"/>
    <col min="3" max="6" width="16.453125" style="10" bestFit="1" customWidth="1"/>
    <col min="7" max="7" width="17.54296875" style="10" bestFit="1" customWidth="1"/>
    <col min="8" max="8" width="16.453125" style="10" bestFit="1" customWidth="1"/>
    <col min="9" max="21" width="17.54296875" style="10" bestFit="1" customWidth="1"/>
    <col min="22" max="22" width="18.54296875" style="10" bestFit="1" customWidth="1"/>
    <col min="23" max="23" width="17.54296875" style="10" bestFit="1" customWidth="1"/>
    <col min="24" max="24" width="25.81640625" style="10" customWidth="1"/>
    <col min="25" max="25" width="17.54296875" style="10" bestFit="1" customWidth="1"/>
    <col min="26" max="26" width="18.54296875" style="10" bestFit="1" customWidth="1"/>
    <col min="29" max="29" width="14.90625" bestFit="1" customWidth="1"/>
    <col min="30" max="30" width="22.6328125" style="10" bestFit="1" customWidth="1"/>
    <col min="31" max="31" width="17.54296875" bestFit="1" customWidth="1"/>
    <col min="32" max="32" width="16.453125" bestFit="1" customWidth="1"/>
    <col min="34" max="34" width="22.6328125" bestFit="1" customWidth="1"/>
    <col min="35" max="35" width="17.54296875" bestFit="1" customWidth="1"/>
    <col min="40" max="40" width="15.1796875" bestFit="1" customWidth="1"/>
    <col min="41" max="41" width="18.08984375" bestFit="1" customWidth="1"/>
    <col min="42" max="42" width="15.1796875" bestFit="1" customWidth="1"/>
    <col min="43" max="43" width="17.81640625" bestFit="1" customWidth="1"/>
    <col min="44" max="45" width="16.6328125" bestFit="1" customWidth="1"/>
    <col min="46" max="55" width="18" bestFit="1" customWidth="1"/>
    <col min="56" max="66" width="19" bestFit="1" customWidth="1"/>
    <col min="69" max="69" width="18" bestFit="1" customWidth="1"/>
    <col min="70" max="70" width="21.453125" customWidth="1"/>
    <col min="71" max="71" width="18" bestFit="1" customWidth="1"/>
    <col min="72" max="72" width="18.81640625" bestFit="1" customWidth="1"/>
    <col min="73" max="81" width="18" bestFit="1" customWidth="1"/>
    <col min="82" max="82" width="19" bestFit="1" customWidth="1"/>
    <col min="83" max="83" width="18" bestFit="1" customWidth="1"/>
    <col min="84" max="89" width="19" bestFit="1" customWidth="1"/>
  </cols>
  <sheetData>
    <row r="1" spans="1:89" x14ac:dyDescent="0.35">
      <c r="A1" s="12" t="s">
        <v>19</v>
      </c>
      <c r="B1" s="12">
        <v>1999</v>
      </c>
      <c r="C1" s="12">
        <v>2000</v>
      </c>
      <c r="D1" s="12">
        <v>2001</v>
      </c>
      <c r="E1" s="12">
        <v>2002</v>
      </c>
      <c r="F1" s="12">
        <v>2003</v>
      </c>
      <c r="G1" s="12">
        <v>2004</v>
      </c>
      <c r="H1" s="12">
        <v>2005</v>
      </c>
      <c r="I1" s="12">
        <v>2006</v>
      </c>
      <c r="J1" s="12">
        <v>2007</v>
      </c>
      <c r="K1" s="12">
        <v>2008</v>
      </c>
      <c r="L1" s="12">
        <v>2009</v>
      </c>
      <c r="M1" s="12">
        <v>2010</v>
      </c>
      <c r="N1" s="12">
        <v>2011</v>
      </c>
      <c r="O1" s="12">
        <v>2012</v>
      </c>
      <c r="P1" s="12">
        <v>2013</v>
      </c>
      <c r="Q1" s="12">
        <v>2014</v>
      </c>
      <c r="R1" s="12">
        <v>2015</v>
      </c>
      <c r="S1" s="12">
        <v>2016</v>
      </c>
      <c r="T1" s="12">
        <v>2017</v>
      </c>
      <c r="U1" s="12">
        <v>2018</v>
      </c>
      <c r="V1" s="12">
        <v>2019</v>
      </c>
      <c r="W1" s="12">
        <v>2020</v>
      </c>
      <c r="X1" s="12">
        <v>2021</v>
      </c>
      <c r="Y1" s="12">
        <v>2022</v>
      </c>
      <c r="Z1" s="12">
        <v>2023</v>
      </c>
      <c r="AD1" s="12" t="s">
        <v>37</v>
      </c>
      <c r="AE1" s="12" t="s">
        <v>38</v>
      </c>
      <c r="AH1" s="12" t="s">
        <v>37</v>
      </c>
      <c r="AI1" s="12" t="s">
        <v>38</v>
      </c>
    </row>
    <row r="2" spans="1:89" x14ac:dyDescent="0.35">
      <c r="A2" s="13" t="s">
        <v>32</v>
      </c>
      <c r="B2" s="14">
        <f>SUBTOTAL(2,B3:B13)</f>
        <v>6</v>
      </c>
      <c r="C2" s="14">
        <f>SUBTOTAL(2,C3:C13)</f>
        <v>6</v>
      </c>
      <c r="D2" s="14">
        <f t="shared" ref="D2:Z2" si="0">SUBTOTAL(2,D3:D13)</f>
        <v>5</v>
      </c>
      <c r="E2" s="14">
        <f t="shared" si="0"/>
        <v>5</v>
      </c>
      <c r="F2" s="14">
        <f t="shared" si="0"/>
        <v>5</v>
      </c>
      <c r="G2" s="14">
        <f t="shared" si="0"/>
        <v>5</v>
      </c>
      <c r="H2" s="14">
        <f t="shared" si="0"/>
        <v>5</v>
      </c>
      <c r="I2" s="14">
        <f t="shared" si="0"/>
        <v>5</v>
      </c>
      <c r="J2" s="14">
        <f t="shared" si="0"/>
        <v>5</v>
      </c>
      <c r="K2" s="14">
        <f t="shared" si="0"/>
        <v>5</v>
      </c>
      <c r="L2" s="14">
        <f t="shared" si="0"/>
        <v>5</v>
      </c>
      <c r="M2" s="14">
        <f t="shared" si="0"/>
        <v>5</v>
      </c>
      <c r="N2" s="14">
        <f t="shared" si="0"/>
        <v>5</v>
      </c>
      <c r="O2" s="14">
        <f t="shared" si="0"/>
        <v>5</v>
      </c>
      <c r="P2" s="14">
        <f t="shared" si="0"/>
        <v>5</v>
      </c>
      <c r="Q2" s="14">
        <f t="shared" si="0"/>
        <v>4</v>
      </c>
      <c r="R2" s="14">
        <f t="shared" si="0"/>
        <v>4</v>
      </c>
      <c r="S2" s="14">
        <f t="shared" si="0"/>
        <v>5</v>
      </c>
      <c r="T2" s="14">
        <f>SUBTOTAL(2,T3:T13)</f>
        <v>6</v>
      </c>
      <c r="U2" s="14">
        <f t="shared" si="0"/>
        <v>5</v>
      </c>
      <c r="V2" s="14">
        <f t="shared" si="0"/>
        <v>5</v>
      </c>
      <c r="W2" s="14">
        <f t="shared" si="0"/>
        <v>3</v>
      </c>
      <c r="X2" s="14">
        <f t="shared" si="0"/>
        <v>3</v>
      </c>
      <c r="Y2" s="14">
        <f t="shared" si="0"/>
        <v>4</v>
      </c>
      <c r="Z2" s="14">
        <f t="shared" si="0"/>
        <v>4</v>
      </c>
      <c r="AC2" s="12">
        <v>2000</v>
      </c>
      <c r="AD2" s="11">
        <v>6325058000</v>
      </c>
      <c r="AE2" s="11">
        <v>4347683000</v>
      </c>
      <c r="AG2" s="12">
        <v>2000</v>
      </c>
      <c r="AH2" s="11">
        <v>29882866000</v>
      </c>
      <c r="AI2" s="11">
        <v>33264257000</v>
      </c>
      <c r="AN2">
        <v>2000</v>
      </c>
      <c r="AO2">
        <v>2001</v>
      </c>
      <c r="AP2">
        <v>2002</v>
      </c>
      <c r="AQ2">
        <v>2003</v>
      </c>
      <c r="AR2">
        <v>2004</v>
      </c>
      <c r="AS2">
        <v>2005</v>
      </c>
      <c r="AT2">
        <v>2006</v>
      </c>
      <c r="AU2">
        <v>2007</v>
      </c>
      <c r="AV2">
        <v>2008</v>
      </c>
      <c r="AW2">
        <v>2009</v>
      </c>
      <c r="AX2">
        <v>2010</v>
      </c>
      <c r="AY2">
        <v>2011</v>
      </c>
      <c r="AZ2">
        <v>2012</v>
      </c>
      <c r="BA2">
        <v>2013</v>
      </c>
      <c r="BB2">
        <v>2014</v>
      </c>
      <c r="BC2">
        <v>2015</v>
      </c>
      <c r="BD2">
        <v>2016</v>
      </c>
      <c r="BE2">
        <v>2017</v>
      </c>
      <c r="BF2">
        <v>2018</v>
      </c>
      <c r="BG2">
        <v>2019</v>
      </c>
      <c r="BH2">
        <v>2020</v>
      </c>
      <c r="BI2">
        <v>2020</v>
      </c>
      <c r="BJ2">
        <v>2021</v>
      </c>
      <c r="BK2">
        <v>2022</v>
      </c>
      <c r="BL2">
        <v>2023</v>
      </c>
    </row>
    <row r="3" spans="1:89" x14ac:dyDescent="0.35">
      <c r="A3" s="16" t="s">
        <v>20</v>
      </c>
      <c r="B3" s="26">
        <v>434649000</v>
      </c>
      <c r="C3" s="26">
        <v>474886000</v>
      </c>
      <c r="D3" s="26">
        <v>517444000</v>
      </c>
      <c r="E3" s="26">
        <v>689612000</v>
      </c>
      <c r="F3" s="11"/>
      <c r="G3" s="11"/>
      <c r="H3" s="11"/>
      <c r="I3" s="11"/>
      <c r="J3" s="11"/>
      <c r="K3" s="11"/>
      <c r="L3" s="11"/>
      <c r="M3" s="26">
        <v>2067612000</v>
      </c>
      <c r="N3" s="26">
        <v>3992419000</v>
      </c>
      <c r="O3" s="26">
        <v>4289735000</v>
      </c>
      <c r="P3" s="26">
        <v>2710849000</v>
      </c>
      <c r="Q3" s="26">
        <v>3007737000</v>
      </c>
      <c r="R3" s="26">
        <v>3429022000</v>
      </c>
      <c r="S3" s="11">
        <f>S11-S8</f>
        <v>1671135000</v>
      </c>
      <c r="T3" s="11">
        <f>T11-T8</f>
        <v>1279092000</v>
      </c>
      <c r="U3" s="26">
        <v>3157141000</v>
      </c>
      <c r="V3" s="26">
        <v>3202041000</v>
      </c>
      <c r="W3" s="26">
        <v>3117974000</v>
      </c>
      <c r="X3" s="26">
        <v>3244688000</v>
      </c>
      <c r="Y3" s="26">
        <v>3631273000</v>
      </c>
      <c r="Z3" s="26">
        <v>5640109000</v>
      </c>
      <c r="AC3" s="12">
        <v>2001</v>
      </c>
      <c r="AD3" s="11">
        <v>6520232000</v>
      </c>
      <c r="AE3" s="11">
        <v>4454559000</v>
      </c>
      <c r="AG3" s="12">
        <v>2019</v>
      </c>
      <c r="AH3" s="11">
        <v>55297620000</v>
      </c>
      <c r="AI3" s="11">
        <v>36292524000</v>
      </c>
      <c r="AN3" s="8">
        <v>537751000</v>
      </c>
      <c r="AO3" s="8">
        <v>587827000</v>
      </c>
      <c r="AP3" s="8">
        <v>837062000</v>
      </c>
      <c r="AQ3" s="8">
        <v>1203133000</v>
      </c>
      <c r="AR3" s="8">
        <v>1062242000</v>
      </c>
      <c r="AS3" s="8">
        <v>1246598000</v>
      </c>
      <c r="AT3" s="8">
        <v>1776667000</v>
      </c>
      <c r="AU3" s="8">
        <v>1191754000</v>
      </c>
      <c r="AV3" s="8">
        <v>2274211000</v>
      </c>
      <c r="AW3" s="8">
        <v>1585673000</v>
      </c>
      <c r="AX3" s="8">
        <v>5571725000</v>
      </c>
      <c r="AY3" s="8">
        <v>8127858000</v>
      </c>
      <c r="AZ3" s="8">
        <v>8685609000</v>
      </c>
      <c r="BA3" s="8">
        <v>6860349000</v>
      </c>
      <c r="BB3" s="8">
        <v>3007737000</v>
      </c>
      <c r="BC3" s="8">
        <v>3429022000</v>
      </c>
      <c r="BD3" s="8">
        <v>4117881000</v>
      </c>
      <c r="BE3" s="8">
        <v>3622324000</v>
      </c>
      <c r="BF3" s="8">
        <v>3157141000</v>
      </c>
      <c r="BG3" s="8">
        <v>3202041000</v>
      </c>
      <c r="BH3" s="8">
        <v>3117974000</v>
      </c>
      <c r="BI3" s="8">
        <v>3117974000</v>
      </c>
      <c r="BJ3" s="8">
        <v>3244688000</v>
      </c>
      <c r="BK3" s="8">
        <v>3631273000</v>
      </c>
      <c r="BL3" s="8">
        <v>5640109000</v>
      </c>
    </row>
    <row r="4" spans="1:89" x14ac:dyDescent="0.35">
      <c r="A4" s="17" t="s">
        <v>21</v>
      </c>
      <c r="B4" s="11"/>
      <c r="C4" s="11"/>
      <c r="D4" s="11"/>
      <c r="E4" s="11"/>
      <c r="F4" s="26">
        <v>750960000</v>
      </c>
      <c r="G4" s="26">
        <v>722253000</v>
      </c>
      <c r="H4" s="26">
        <v>767006000</v>
      </c>
      <c r="I4" s="26">
        <v>818283000</v>
      </c>
      <c r="J4" s="11"/>
      <c r="K4" s="26">
        <v>1213859000</v>
      </c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C4" s="12">
        <v>2002</v>
      </c>
      <c r="AD4" s="11">
        <v>7256217000</v>
      </c>
      <c r="AE4" s="11">
        <v>4774232000</v>
      </c>
      <c r="AG4" s="12">
        <v>2018</v>
      </c>
      <c r="AH4" s="11">
        <v>31278065000</v>
      </c>
      <c r="AI4" s="11">
        <v>35974804000</v>
      </c>
    </row>
    <row r="5" spans="1:89" x14ac:dyDescent="0.35">
      <c r="A5" s="17" t="s">
        <v>22</v>
      </c>
      <c r="B5" s="11"/>
      <c r="C5" s="11"/>
      <c r="D5" s="11"/>
      <c r="E5" s="11"/>
      <c r="F5" s="11">
        <v>452173000</v>
      </c>
      <c r="G5" s="11">
        <v>339989000</v>
      </c>
      <c r="H5" s="11">
        <v>479592000</v>
      </c>
      <c r="I5" s="11">
        <v>958384000</v>
      </c>
      <c r="J5" s="11">
        <v>1191754000</v>
      </c>
      <c r="K5" s="11">
        <v>1060352000</v>
      </c>
      <c r="L5" s="11">
        <v>1585673000</v>
      </c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C5" s="12">
        <v>2003</v>
      </c>
      <c r="AD5" s="11">
        <v>7989328000</v>
      </c>
      <c r="AE5" s="11">
        <v>5478439000</v>
      </c>
      <c r="AG5" s="12">
        <v>2017</v>
      </c>
      <c r="AH5" s="11">
        <v>31047539000</v>
      </c>
      <c r="AI5" s="11">
        <v>34704549000</v>
      </c>
      <c r="AN5">
        <v>2000</v>
      </c>
      <c r="AO5" s="8">
        <v>537751000</v>
      </c>
      <c r="AP5">
        <v>2020</v>
      </c>
      <c r="AQ5" s="8">
        <v>3117974000</v>
      </c>
      <c r="AT5">
        <v>1999</v>
      </c>
      <c r="AU5">
        <v>2000</v>
      </c>
      <c r="AV5">
        <v>2001</v>
      </c>
      <c r="AW5">
        <v>2002</v>
      </c>
      <c r="AX5">
        <v>2003</v>
      </c>
      <c r="AY5">
        <v>2004</v>
      </c>
      <c r="AZ5">
        <v>2005</v>
      </c>
      <c r="BA5">
        <v>2006</v>
      </c>
      <c r="BB5">
        <v>2007</v>
      </c>
      <c r="BC5">
        <v>2008</v>
      </c>
      <c r="BD5">
        <v>2009</v>
      </c>
      <c r="BE5">
        <v>2010</v>
      </c>
      <c r="BF5">
        <v>2011</v>
      </c>
      <c r="BG5">
        <v>2012</v>
      </c>
      <c r="BH5">
        <v>2013</v>
      </c>
      <c r="BI5">
        <v>2014</v>
      </c>
      <c r="BJ5">
        <v>2015</v>
      </c>
      <c r="BK5">
        <v>2016</v>
      </c>
      <c r="BL5">
        <v>2017</v>
      </c>
      <c r="BM5">
        <v>2018</v>
      </c>
      <c r="BN5">
        <v>2019</v>
      </c>
      <c r="BQ5">
        <v>1999</v>
      </c>
      <c r="BR5">
        <v>2000</v>
      </c>
      <c r="BS5">
        <v>2001</v>
      </c>
      <c r="BT5">
        <v>2002</v>
      </c>
      <c r="BU5">
        <v>2003</v>
      </c>
      <c r="BV5">
        <v>2004</v>
      </c>
      <c r="BW5">
        <v>2005</v>
      </c>
      <c r="BX5">
        <v>2006</v>
      </c>
      <c r="BY5">
        <v>2007</v>
      </c>
      <c r="BZ5">
        <v>2008</v>
      </c>
      <c r="CA5">
        <v>2009</v>
      </c>
      <c r="CB5">
        <v>2010</v>
      </c>
      <c r="CC5">
        <v>2011</v>
      </c>
      <c r="CD5">
        <v>2012</v>
      </c>
      <c r="CE5">
        <v>2013</v>
      </c>
      <c r="CF5">
        <v>2014</v>
      </c>
      <c r="CG5">
        <v>2015</v>
      </c>
      <c r="CH5">
        <v>2016</v>
      </c>
      <c r="CI5">
        <v>2017</v>
      </c>
      <c r="CJ5">
        <v>2018</v>
      </c>
      <c r="CK5">
        <v>2019</v>
      </c>
    </row>
    <row r="6" spans="1:89" x14ac:dyDescent="0.35">
      <c r="A6" s="17" t="s">
        <v>28</v>
      </c>
      <c r="B6" s="11">
        <v>48052000</v>
      </c>
      <c r="C6" s="11">
        <v>62865000</v>
      </c>
      <c r="D6" s="11">
        <v>70383000</v>
      </c>
      <c r="E6" s="11">
        <v>147450000</v>
      </c>
      <c r="F6" s="11"/>
      <c r="G6" s="11"/>
      <c r="H6" s="11"/>
      <c r="I6" s="11"/>
      <c r="J6" s="11"/>
      <c r="K6" s="11"/>
      <c r="L6" s="11"/>
      <c r="M6" s="11">
        <v>3504113000</v>
      </c>
      <c r="N6" s="11">
        <v>4135439000</v>
      </c>
      <c r="O6" s="11">
        <v>4395874000</v>
      </c>
      <c r="P6" s="11">
        <v>4149500000</v>
      </c>
      <c r="Q6" s="11"/>
      <c r="R6" s="11"/>
      <c r="S6" s="11"/>
      <c r="T6" s="11"/>
      <c r="U6" s="11"/>
      <c r="V6" s="11"/>
      <c r="W6" s="11"/>
      <c r="X6" s="11"/>
      <c r="Y6" s="11"/>
      <c r="Z6" s="11"/>
      <c r="AC6" s="12">
        <v>2004</v>
      </c>
      <c r="AD6" s="11">
        <v>19933606000</v>
      </c>
      <c r="AE6" s="11">
        <v>5102512000</v>
      </c>
      <c r="AG6" s="12">
        <v>2016</v>
      </c>
      <c r="AH6" s="11">
        <v>34421850000</v>
      </c>
      <c r="AI6" s="11">
        <v>38425912000</v>
      </c>
      <c r="AN6">
        <v>2001</v>
      </c>
      <c r="AO6" s="8">
        <v>587827000</v>
      </c>
      <c r="AP6">
        <v>2019</v>
      </c>
      <c r="AQ6" s="8">
        <v>3202041000</v>
      </c>
      <c r="AT6" s="24">
        <v>2461790280</v>
      </c>
      <c r="AU6" s="24">
        <v>2521656140</v>
      </c>
      <c r="AV6" s="24">
        <v>2583644220</v>
      </c>
      <c r="AW6" s="24">
        <v>2769054560</v>
      </c>
      <c r="AX6" s="24">
        <v>3177494620</v>
      </c>
      <c r="AY6" s="24">
        <v>2959456960</v>
      </c>
      <c r="AZ6" s="24">
        <v>2925686000</v>
      </c>
      <c r="BA6" s="24">
        <v>7346539000</v>
      </c>
      <c r="BB6" s="24">
        <v>7615736000</v>
      </c>
      <c r="BC6" s="24">
        <v>5269191000</v>
      </c>
      <c r="BD6" s="24">
        <v>18875680000</v>
      </c>
      <c r="BE6" s="24">
        <v>22700130000</v>
      </c>
      <c r="BF6" s="24">
        <v>23173218000</v>
      </c>
      <c r="BG6" s="24">
        <v>19618095000</v>
      </c>
      <c r="BH6" s="24">
        <v>21604452000</v>
      </c>
      <c r="BI6" s="24">
        <v>25233155000</v>
      </c>
      <c r="BJ6" s="24">
        <v>25789795000</v>
      </c>
      <c r="BK6" s="24">
        <v>19056672000</v>
      </c>
      <c r="BL6" s="24">
        <v>16005614000</v>
      </c>
      <c r="BM6" s="24">
        <v>15272000000</v>
      </c>
      <c r="BN6" s="24">
        <v>15284380000</v>
      </c>
      <c r="BQ6" s="20">
        <v>4896040000</v>
      </c>
      <c r="BR6" s="20">
        <v>2011474000</v>
      </c>
      <c r="BS6" s="20">
        <v>2060842000</v>
      </c>
      <c r="BT6" s="20">
        <v>2248580000</v>
      </c>
      <c r="BU6" s="20">
        <v>2339322000</v>
      </c>
      <c r="BV6" s="20">
        <v>2350256000</v>
      </c>
      <c r="BW6" s="20">
        <v>2716461000</v>
      </c>
      <c r="BX6" s="20">
        <v>2798151000</v>
      </c>
      <c r="BY6" s="20">
        <v>3489757000</v>
      </c>
      <c r="BZ6" s="20">
        <v>2980992000</v>
      </c>
      <c r="CA6" s="20">
        <v>5155451000</v>
      </c>
      <c r="CB6" s="20">
        <v>5572020000</v>
      </c>
      <c r="CC6" s="20">
        <v>6912595000</v>
      </c>
      <c r="CD6" s="20">
        <v>12342022000</v>
      </c>
      <c r="CE6" s="20">
        <v>9923617000</v>
      </c>
      <c r="CF6" s="20">
        <v>19405864000</v>
      </c>
      <c r="CG6" s="20">
        <v>19930760000</v>
      </c>
      <c r="CH6" s="20">
        <v>19085089000</v>
      </c>
      <c r="CI6" s="20">
        <v>15119637333.333334</v>
      </c>
      <c r="CJ6" s="20">
        <v>13960187777.777779</v>
      </c>
      <c r="CK6" s="20">
        <v>38109711703.703705</v>
      </c>
    </row>
    <row r="7" spans="1:89" ht="15" customHeight="1" x14ac:dyDescent="0.35">
      <c r="A7" s="18" t="s">
        <v>25</v>
      </c>
      <c r="B7" s="11"/>
      <c r="C7" s="11"/>
      <c r="J7" s="26">
        <v>2381494000</v>
      </c>
      <c r="K7" s="11"/>
      <c r="L7" s="26">
        <v>5697994000</v>
      </c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C7" s="12">
        <v>2005</v>
      </c>
      <c r="AD7" s="11">
        <v>6484351000</v>
      </c>
      <c r="AE7" s="11">
        <v>3694784000</v>
      </c>
      <c r="AG7" s="12">
        <v>2015</v>
      </c>
      <c r="AH7" s="11">
        <v>38459182000</v>
      </c>
      <c r="AI7" s="11">
        <v>44661256000</v>
      </c>
      <c r="AN7">
        <v>2002</v>
      </c>
      <c r="AO7" s="8">
        <v>837062000</v>
      </c>
      <c r="AP7">
        <v>2018</v>
      </c>
      <c r="AQ7" s="8">
        <v>3157141000</v>
      </c>
      <c r="AT7" s="11">
        <v>1425120000</v>
      </c>
      <c r="AU7" s="11">
        <v>3462836000</v>
      </c>
      <c r="AV7" s="11">
        <v>3492054000</v>
      </c>
      <c r="AW7" s="11">
        <v>3647290000</v>
      </c>
      <c r="AX7" s="11">
        <v>3845438000</v>
      </c>
      <c r="AY7" s="11">
        <v>15909544000</v>
      </c>
      <c r="AZ7" s="11">
        <v>1814563000</v>
      </c>
      <c r="BA7" s="11">
        <v>5623943000</v>
      </c>
      <c r="BB7" s="11">
        <v>7374778000</v>
      </c>
      <c r="BC7" s="11">
        <v>7138251000</v>
      </c>
      <c r="BD7" s="11">
        <v>8215955000</v>
      </c>
      <c r="BE7" s="11">
        <v>19345233000</v>
      </c>
      <c r="BF7" s="11">
        <v>28874103000</v>
      </c>
      <c r="BG7" s="11">
        <v>28387232000</v>
      </c>
      <c r="BH7" s="11">
        <v>20022340000</v>
      </c>
      <c r="BI7" s="11">
        <v>13148714000</v>
      </c>
      <c r="BJ7" s="11">
        <v>12549139000</v>
      </c>
      <c r="BK7" s="11">
        <v>11218880000</v>
      </c>
      <c r="BL7" s="25">
        <v>12305577666.666666</v>
      </c>
      <c r="BM7" s="25">
        <v>12024532222.222221</v>
      </c>
      <c r="BN7" s="25">
        <v>11849663296.296295</v>
      </c>
    </row>
    <row r="8" spans="1:89" x14ac:dyDescent="0.35">
      <c r="A8" s="17" t="s">
        <v>24</v>
      </c>
      <c r="B8" s="29">
        <v>246253000</v>
      </c>
      <c r="C8" s="29">
        <v>312997000</v>
      </c>
      <c r="D8" s="11">
        <v>379509000</v>
      </c>
      <c r="E8" s="11">
        <v>523285000</v>
      </c>
      <c r="F8" s="11">
        <v>601435000</v>
      </c>
      <c r="G8" s="11">
        <v>611564000</v>
      </c>
      <c r="H8" s="11">
        <v>706729000</v>
      </c>
      <c r="I8" s="11">
        <v>1069551000</v>
      </c>
      <c r="J8" s="29">
        <v>1028714000</v>
      </c>
      <c r="K8" s="11">
        <v>987877000</v>
      </c>
      <c r="L8" s="29">
        <v>2507682500</v>
      </c>
      <c r="M8" s="11">
        <v>4027488000</v>
      </c>
      <c r="N8" s="11">
        <v>3266759000</v>
      </c>
      <c r="O8" s="11">
        <v>3407118000</v>
      </c>
      <c r="P8" s="11">
        <v>2711530000</v>
      </c>
      <c r="Q8" s="11">
        <v>2405141000</v>
      </c>
      <c r="R8" s="11">
        <v>2550261000</v>
      </c>
      <c r="S8" s="29">
        <v>2446746000</v>
      </c>
      <c r="T8" s="29">
        <v>2343232000</v>
      </c>
      <c r="U8" s="11">
        <v>2136204000</v>
      </c>
      <c r="V8" s="11">
        <v>2136204000</v>
      </c>
      <c r="W8" s="11">
        <v>2108927000</v>
      </c>
      <c r="X8" s="11">
        <v>2426351000</v>
      </c>
      <c r="Y8" s="11">
        <v>2752149000</v>
      </c>
      <c r="Z8" s="11">
        <v>12246212000</v>
      </c>
      <c r="AC8" s="12">
        <v>2006</v>
      </c>
      <c r="AD8" s="11">
        <v>11268312000</v>
      </c>
      <c r="AE8" s="11">
        <v>10899863000</v>
      </c>
      <c r="AG8" s="12">
        <v>2014</v>
      </c>
      <c r="AH8" s="11">
        <v>37967456000</v>
      </c>
      <c r="AI8" s="11">
        <v>43863514000</v>
      </c>
      <c r="AN8">
        <v>2003</v>
      </c>
      <c r="AO8" s="8">
        <v>1203133000</v>
      </c>
      <c r="AP8">
        <v>2017</v>
      </c>
      <c r="AQ8" s="8">
        <v>3622324000</v>
      </c>
      <c r="AT8">
        <v>1999</v>
      </c>
      <c r="AU8" s="24">
        <v>2461790280</v>
      </c>
      <c r="AV8">
        <v>2019</v>
      </c>
      <c r="AW8" s="24">
        <v>15284380000</v>
      </c>
      <c r="AY8">
        <v>1999</v>
      </c>
      <c r="AZ8" s="11">
        <v>1425120000</v>
      </c>
      <c r="BA8">
        <v>2019</v>
      </c>
      <c r="BB8" s="25">
        <v>11849663296.296295</v>
      </c>
      <c r="BQ8">
        <v>1999</v>
      </c>
      <c r="BR8" s="20">
        <v>4896040000</v>
      </c>
      <c r="BS8">
        <v>2019</v>
      </c>
      <c r="BT8" s="20">
        <v>38109711703.703705</v>
      </c>
    </row>
    <row r="9" spans="1:89" x14ac:dyDescent="0.35">
      <c r="A9" s="17" t="s">
        <v>26</v>
      </c>
      <c r="B9" s="11">
        <v>5142293000</v>
      </c>
      <c r="C9" s="11">
        <v>2324471000</v>
      </c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C9" s="12">
        <v>2007</v>
      </c>
      <c r="AD9" s="11">
        <v>14437783000</v>
      </c>
      <c r="AE9" s="11">
        <v>12056051000</v>
      </c>
      <c r="AG9" s="12">
        <v>2013</v>
      </c>
      <c r="AH9" s="11">
        <v>39517836000</v>
      </c>
      <c r="AI9" s="11">
        <v>33418177000</v>
      </c>
      <c r="AN9">
        <v>2004</v>
      </c>
      <c r="AO9" s="8">
        <v>1062242000</v>
      </c>
      <c r="AP9">
        <v>2016</v>
      </c>
      <c r="AQ9" s="8">
        <v>4117881000</v>
      </c>
      <c r="AT9">
        <v>2000</v>
      </c>
      <c r="AU9" s="24">
        <v>2521656140</v>
      </c>
      <c r="AV9">
        <v>2018</v>
      </c>
      <c r="AW9" s="24">
        <v>15272000000</v>
      </c>
      <c r="AY9">
        <v>2000</v>
      </c>
      <c r="AZ9" s="11">
        <v>3462836000</v>
      </c>
      <c r="BA9">
        <v>2018</v>
      </c>
      <c r="BB9" s="25">
        <v>12024532222.222221</v>
      </c>
      <c r="BQ9">
        <v>2000</v>
      </c>
      <c r="BR9" s="20">
        <v>2011474000</v>
      </c>
      <c r="BS9">
        <v>2018</v>
      </c>
      <c r="BT9" s="20">
        <v>13960187777.777779</v>
      </c>
    </row>
    <row r="10" spans="1:89" x14ac:dyDescent="0.35">
      <c r="A10" s="17" t="s">
        <v>27</v>
      </c>
      <c r="B10" s="30">
        <f>B9-B8</f>
        <v>4896040000</v>
      </c>
      <c r="C10" s="30">
        <f>C9-C8</f>
        <v>2011474000</v>
      </c>
      <c r="D10" s="11">
        <v>2060842000</v>
      </c>
      <c r="E10" s="11">
        <v>2248580000</v>
      </c>
      <c r="F10" s="11">
        <v>2339322000</v>
      </c>
      <c r="G10" s="11">
        <v>2350256000</v>
      </c>
      <c r="H10" s="11">
        <v>2716461000</v>
      </c>
      <c r="I10" s="11">
        <v>2798151000</v>
      </c>
      <c r="J10" s="11">
        <v>3489757000</v>
      </c>
      <c r="K10" s="11">
        <v>2980992000</v>
      </c>
      <c r="L10" s="11">
        <v>5155451000</v>
      </c>
      <c r="M10" s="11">
        <v>5572020000</v>
      </c>
      <c r="N10" s="11">
        <v>6912595000</v>
      </c>
      <c r="O10" s="11">
        <v>12342022000</v>
      </c>
      <c r="P10" s="11">
        <v>9923617000</v>
      </c>
      <c r="Q10" s="11">
        <v>19405864000</v>
      </c>
      <c r="R10" s="11">
        <v>19930760000</v>
      </c>
      <c r="S10" s="11">
        <v>19085089000</v>
      </c>
      <c r="T10" s="30">
        <f>T12-T13</f>
        <v>15119637333.333334</v>
      </c>
      <c r="U10" s="30">
        <f>U12-U13</f>
        <v>13960187777.777779</v>
      </c>
      <c r="V10" s="30">
        <f>V12-V13</f>
        <v>38109711703.703705</v>
      </c>
      <c r="W10" s="11"/>
      <c r="X10" s="11"/>
      <c r="Y10" s="11">
        <v>16566813000</v>
      </c>
      <c r="Z10" s="11">
        <v>594750366490</v>
      </c>
      <c r="AC10" s="12">
        <v>2008</v>
      </c>
      <c r="AD10" s="11">
        <v>13381331000</v>
      </c>
      <c r="AE10" s="11">
        <v>9117076000</v>
      </c>
      <c r="AG10" s="12">
        <v>2012</v>
      </c>
      <c r="AH10" s="11">
        <v>52821981000</v>
      </c>
      <c r="AI10" s="11">
        <v>30903908000</v>
      </c>
      <c r="AN10">
        <v>2005</v>
      </c>
      <c r="AO10" s="8">
        <v>1246598000</v>
      </c>
      <c r="AP10">
        <v>2015</v>
      </c>
      <c r="AQ10" s="8">
        <v>3429022000</v>
      </c>
      <c r="AT10">
        <v>2001</v>
      </c>
      <c r="AU10" s="24">
        <v>2583644220</v>
      </c>
      <c r="AV10">
        <v>2017</v>
      </c>
      <c r="AW10" s="24">
        <v>16005614000</v>
      </c>
      <c r="AY10">
        <v>2001</v>
      </c>
      <c r="AZ10" s="11">
        <v>3492054000</v>
      </c>
      <c r="BA10">
        <v>2017</v>
      </c>
      <c r="BB10" s="25">
        <v>12305577666.666666</v>
      </c>
      <c r="BQ10">
        <v>2001</v>
      </c>
      <c r="BR10" s="20">
        <v>2060842000</v>
      </c>
      <c r="BS10">
        <v>2017</v>
      </c>
      <c r="BT10" s="20">
        <v>15119637333.333334</v>
      </c>
    </row>
    <row r="11" spans="1:89" x14ac:dyDescent="0.35">
      <c r="A11" s="17" t="s">
        <v>29</v>
      </c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26">
        <v>4117881000</v>
      </c>
      <c r="T11" s="26">
        <v>3622324000</v>
      </c>
      <c r="U11" s="11"/>
      <c r="V11" s="11"/>
      <c r="W11" s="11"/>
      <c r="X11" s="11"/>
      <c r="Y11" s="11"/>
      <c r="Z11" s="11"/>
      <c r="AC11" s="12">
        <v>2009</v>
      </c>
      <c r="AD11" s="11">
        <v>20655073000</v>
      </c>
      <c r="AE11" s="11">
        <v>27390830000</v>
      </c>
      <c r="AG11" s="12">
        <v>2011</v>
      </c>
      <c r="AH11" s="11">
        <v>47181315000</v>
      </c>
      <c r="AI11" s="11">
        <v>31331230000</v>
      </c>
      <c r="AN11">
        <v>2006</v>
      </c>
      <c r="AO11" s="8">
        <v>1776667000</v>
      </c>
      <c r="AP11">
        <v>2014</v>
      </c>
      <c r="AQ11" s="8">
        <v>3007737000</v>
      </c>
      <c r="AT11">
        <v>2002</v>
      </c>
      <c r="AU11" s="24">
        <v>2769054560</v>
      </c>
      <c r="AV11">
        <v>2016</v>
      </c>
      <c r="AW11" s="24">
        <v>19056672000</v>
      </c>
      <c r="AY11">
        <v>2002</v>
      </c>
      <c r="AZ11" s="11">
        <v>3647290000</v>
      </c>
      <c r="BA11">
        <v>2016</v>
      </c>
      <c r="BB11" s="11">
        <v>11218880000</v>
      </c>
      <c r="BQ11">
        <v>2002</v>
      </c>
      <c r="BR11" s="20">
        <v>2248580000</v>
      </c>
      <c r="BS11">
        <v>2016</v>
      </c>
      <c r="BT11" s="20">
        <v>19085089000</v>
      </c>
    </row>
    <row r="12" spans="1:89" x14ac:dyDescent="0.35">
      <c r="A12" s="17" t="s">
        <v>31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>
        <v>27425215000</v>
      </c>
      <c r="U12" s="11">
        <v>25984720000</v>
      </c>
      <c r="V12" s="11">
        <v>49959375000</v>
      </c>
      <c r="W12" s="11">
        <v>24655965000</v>
      </c>
      <c r="X12" s="11">
        <v>24315051000</v>
      </c>
      <c r="Y12" s="11"/>
      <c r="Z12" s="11"/>
      <c r="AC12" s="12">
        <v>2010</v>
      </c>
      <c r="AD12" s="11">
        <v>34516466000</v>
      </c>
      <c r="AE12" s="11">
        <v>30267850000</v>
      </c>
      <c r="AG12" s="12">
        <v>2010</v>
      </c>
      <c r="AH12" s="11">
        <v>34516466000</v>
      </c>
      <c r="AI12" s="11">
        <v>30267850000</v>
      </c>
      <c r="AN12">
        <v>2007</v>
      </c>
      <c r="AO12" s="8">
        <v>1191754000</v>
      </c>
      <c r="AP12">
        <v>2013</v>
      </c>
      <c r="AQ12" s="8">
        <v>6860349000</v>
      </c>
      <c r="AT12">
        <v>2003</v>
      </c>
      <c r="AU12" s="24">
        <v>3177494620</v>
      </c>
      <c r="AV12">
        <v>2015</v>
      </c>
      <c r="AW12" s="24">
        <v>25789795000</v>
      </c>
      <c r="AY12">
        <v>2003</v>
      </c>
      <c r="AZ12" s="11">
        <v>3845438000</v>
      </c>
      <c r="BA12">
        <v>2015</v>
      </c>
      <c r="BB12" s="11">
        <v>12549139000</v>
      </c>
      <c r="BQ12">
        <v>2003</v>
      </c>
      <c r="BR12" s="20">
        <v>2339322000</v>
      </c>
      <c r="BS12">
        <v>2015</v>
      </c>
      <c r="BT12" s="20">
        <v>19930760000</v>
      </c>
    </row>
    <row r="13" spans="1:89" x14ac:dyDescent="0.35">
      <c r="A13" s="17" t="s">
        <v>30</v>
      </c>
      <c r="B13" s="11">
        <v>1425120000</v>
      </c>
      <c r="C13" s="11">
        <v>3462836000</v>
      </c>
      <c r="D13" s="11">
        <v>3492054000</v>
      </c>
      <c r="E13" s="11">
        <v>3647290000</v>
      </c>
      <c r="F13" s="11">
        <v>3845438000</v>
      </c>
      <c r="G13" s="11">
        <v>15909544000</v>
      </c>
      <c r="H13" s="11">
        <v>1814563000</v>
      </c>
      <c r="I13" s="11">
        <v>5623943000</v>
      </c>
      <c r="J13" s="11">
        <v>7374778000</v>
      </c>
      <c r="K13" s="11">
        <v>7138251000</v>
      </c>
      <c r="L13" s="11">
        <v>8215955000</v>
      </c>
      <c r="M13" s="11">
        <v>19345233000</v>
      </c>
      <c r="N13" s="11">
        <v>28874103000</v>
      </c>
      <c r="O13" s="11">
        <v>28387232000</v>
      </c>
      <c r="P13" s="11">
        <v>20022340000</v>
      </c>
      <c r="Q13" s="11">
        <v>13148714000</v>
      </c>
      <c r="R13" s="11">
        <v>12549139000</v>
      </c>
      <c r="S13" s="11">
        <v>11218880000</v>
      </c>
      <c r="T13" s="25">
        <f>AVERAGE(Q13:S13)</f>
        <v>12305577666.666666</v>
      </c>
      <c r="U13" s="25">
        <f>AVERAGE(R13:T13)</f>
        <v>12024532222.222221</v>
      </c>
      <c r="V13" s="25">
        <f>AVERAGE(S13:U13)</f>
        <v>11849663296.296295</v>
      </c>
      <c r="W13" s="11"/>
      <c r="X13" s="11"/>
      <c r="Y13" s="11">
        <v>11271222000</v>
      </c>
      <c r="Z13" s="11">
        <v>78242281000</v>
      </c>
      <c r="AC13" s="12">
        <v>2011</v>
      </c>
      <c r="AD13" s="11">
        <v>47181315000</v>
      </c>
      <c r="AE13" s="11">
        <v>31331230000</v>
      </c>
      <c r="AG13" s="12">
        <v>2009</v>
      </c>
      <c r="AH13" s="11">
        <v>20655073000</v>
      </c>
      <c r="AI13" s="11">
        <v>27390830000</v>
      </c>
      <c r="AN13">
        <v>2008</v>
      </c>
      <c r="AO13" s="8">
        <v>2274211000</v>
      </c>
      <c r="AP13">
        <v>2012</v>
      </c>
      <c r="AQ13" s="8">
        <v>8685609000</v>
      </c>
      <c r="AT13">
        <v>2004</v>
      </c>
      <c r="AU13" s="24">
        <v>2959456960</v>
      </c>
      <c r="AV13">
        <v>2014</v>
      </c>
      <c r="AW13" s="24">
        <v>25233155000</v>
      </c>
      <c r="AY13">
        <v>2004</v>
      </c>
      <c r="AZ13" s="11">
        <v>15909544000</v>
      </c>
      <c r="BA13">
        <v>2014</v>
      </c>
      <c r="BB13" s="11">
        <v>13148714000</v>
      </c>
      <c r="BQ13">
        <v>2004</v>
      </c>
      <c r="BR13" s="20">
        <v>2350256000</v>
      </c>
      <c r="BS13">
        <v>2014</v>
      </c>
      <c r="BT13" s="20">
        <v>19405864000</v>
      </c>
    </row>
    <row r="14" spans="1:89" x14ac:dyDescent="0.35">
      <c r="A14" s="15" t="s">
        <v>23</v>
      </c>
      <c r="B14" s="19">
        <f t="shared" ref="B14:Z14" si="1">SUM(B3:B13)</f>
        <v>12192407000</v>
      </c>
      <c r="C14" s="19">
        <f t="shared" si="1"/>
        <v>8649529000</v>
      </c>
      <c r="D14" s="19">
        <f t="shared" si="1"/>
        <v>6520232000</v>
      </c>
      <c r="E14" s="19">
        <f t="shared" si="1"/>
        <v>7256217000</v>
      </c>
      <c r="F14" s="19">
        <f t="shared" si="1"/>
        <v>7989328000</v>
      </c>
      <c r="G14" s="19">
        <f t="shared" si="1"/>
        <v>19933606000</v>
      </c>
      <c r="H14" s="19">
        <f t="shared" si="1"/>
        <v>6484351000</v>
      </c>
      <c r="I14" s="19">
        <f t="shared" si="1"/>
        <v>11268312000</v>
      </c>
      <c r="J14" s="19">
        <f t="shared" si="1"/>
        <v>15466497000</v>
      </c>
      <c r="K14" s="19">
        <f t="shared" si="1"/>
        <v>13381331000</v>
      </c>
      <c r="L14" s="19">
        <f t="shared" si="1"/>
        <v>23162755500</v>
      </c>
      <c r="M14" s="19">
        <f t="shared" si="1"/>
        <v>34516466000</v>
      </c>
      <c r="N14" s="19">
        <f t="shared" si="1"/>
        <v>47181315000</v>
      </c>
      <c r="O14" s="19">
        <f t="shared" si="1"/>
        <v>52821981000</v>
      </c>
      <c r="P14" s="19">
        <f t="shared" si="1"/>
        <v>39517836000</v>
      </c>
      <c r="Q14" s="19">
        <f t="shared" si="1"/>
        <v>37967456000</v>
      </c>
      <c r="R14" s="19">
        <f t="shared" si="1"/>
        <v>38459182000</v>
      </c>
      <c r="S14" s="19">
        <f t="shared" si="1"/>
        <v>38539731000</v>
      </c>
      <c r="T14" s="19">
        <f t="shared" si="1"/>
        <v>62095078000</v>
      </c>
      <c r="U14" s="19">
        <f t="shared" si="1"/>
        <v>57262785000</v>
      </c>
      <c r="V14" s="19">
        <f t="shared" si="1"/>
        <v>105256995000</v>
      </c>
      <c r="W14" s="19">
        <f t="shared" si="1"/>
        <v>29882866000</v>
      </c>
      <c r="X14" s="19">
        <f t="shared" si="1"/>
        <v>29986090000</v>
      </c>
      <c r="Y14" s="19">
        <f t="shared" si="1"/>
        <v>34221457000</v>
      </c>
      <c r="Z14" s="19">
        <f t="shared" si="1"/>
        <v>690878968490</v>
      </c>
      <c r="AC14" s="12">
        <v>2012</v>
      </c>
      <c r="AD14" s="11">
        <v>52821981000</v>
      </c>
      <c r="AE14" s="11">
        <v>30903908000</v>
      </c>
      <c r="AG14" s="12">
        <v>2008</v>
      </c>
      <c r="AH14" s="11">
        <v>13381331000</v>
      </c>
      <c r="AI14" s="11">
        <v>9117076000</v>
      </c>
      <c r="AN14">
        <v>2009</v>
      </c>
      <c r="AO14" s="8">
        <v>1585673000</v>
      </c>
      <c r="AP14">
        <v>2011</v>
      </c>
      <c r="AQ14" s="8">
        <v>8127858000</v>
      </c>
      <c r="AT14">
        <v>2005</v>
      </c>
      <c r="AU14" s="24">
        <v>2925686000</v>
      </c>
      <c r="AV14">
        <v>2013</v>
      </c>
      <c r="AW14" s="24">
        <v>21604452000</v>
      </c>
      <c r="AY14">
        <v>2005</v>
      </c>
      <c r="AZ14" s="11">
        <v>1814563000</v>
      </c>
      <c r="BA14">
        <v>2013</v>
      </c>
      <c r="BB14" s="11">
        <v>20022340000</v>
      </c>
      <c r="BQ14">
        <v>2005</v>
      </c>
      <c r="BR14" s="20">
        <v>2716461000</v>
      </c>
      <c r="BS14">
        <v>2013</v>
      </c>
      <c r="BT14" s="20">
        <v>9923617000</v>
      </c>
    </row>
    <row r="15" spans="1:89" x14ac:dyDescent="0.35">
      <c r="AC15" s="12">
        <v>2013</v>
      </c>
      <c r="AD15" s="11">
        <v>39517836000</v>
      </c>
      <c r="AE15" s="11">
        <v>33418177000</v>
      </c>
      <c r="AG15" s="12">
        <v>2007</v>
      </c>
      <c r="AH15" s="11">
        <v>14437783000</v>
      </c>
      <c r="AI15" s="11">
        <v>12056051000</v>
      </c>
      <c r="AN15">
        <v>2010</v>
      </c>
      <c r="AO15" s="8">
        <v>5571725000</v>
      </c>
      <c r="AP15">
        <v>2010</v>
      </c>
      <c r="AQ15" s="8">
        <v>5571725000</v>
      </c>
      <c r="AT15">
        <v>2006</v>
      </c>
      <c r="AU15" s="24">
        <v>7346539000</v>
      </c>
      <c r="AV15">
        <v>2012</v>
      </c>
      <c r="AW15" s="24">
        <v>19618095000</v>
      </c>
      <c r="AY15">
        <v>2006</v>
      </c>
      <c r="AZ15" s="11">
        <v>5623943000</v>
      </c>
      <c r="BA15">
        <v>2012</v>
      </c>
      <c r="BB15" s="11">
        <v>28387232000</v>
      </c>
      <c r="BQ15">
        <v>2006</v>
      </c>
      <c r="BR15" s="20">
        <v>2798151000</v>
      </c>
      <c r="BS15">
        <v>2012</v>
      </c>
      <c r="BT15" s="20">
        <v>12342022000</v>
      </c>
    </row>
    <row r="16" spans="1:89" x14ac:dyDescent="0.35">
      <c r="A16" s="17" t="s">
        <v>66</v>
      </c>
      <c r="B16" s="26">
        <v>434649000</v>
      </c>
      <c r="C16" s="26">
        <v>474886000</v>
      </c>
      <c r="D16" s="26">
        <v>517444000</v>
      </c>
      <c r="E16" s="26">
        <v>689612000</v>
      </c>
      <c r="F16" s="26">
        <v>750960000</v>
      </c>
      <c r="G16" s="26">
        <v>722253000</v>
      </c>
      <c r="H16" s="26">
        <v>767006000</v>
      </c>
      <c r="I16" s="26">
        <v>818283000</v>
      </c>
      <c r="J16" s="26">
        <v>2381494000</v>
      </c>
      <c r="K16" s="26">
        <v>1213859000</v>
      </c>
      <c r="L16" s="26">
        <v>5697994000</v>
      </c>
      <c r="M16" s="26">
        <v>2067612000</v>
      </c>
      <c r="N16" s="26">
        <v>3992419000</v>
      </c>
      <c r="O16" s="26">
        <v>4289735000</v>
      </c>
      <c r="P16" s="26">
        <v>2710849000</v>
      </c>
      <c r="Q16" s="26">
        <v>3007737000</v>
      </c>
      <c r="R16" s="26">
        <v>3429022000</v>
      </c>
      <c r="S16" s="26">
        <v>4117881000</v>
      </c>
      <c r="T16" s="26">
        <v>3622324000</v>
      </c>
      <c r="U16" s="26">
        <v>3157141000</v>
      </c>
      <c r="V16" s="26">
        <v>3202041000</v>
      </c>
      <c r="W16" s="26">
        <v>3117974000</v>
      </c>
      <c r="X16" s="26">
        <v>3244688000</v>
      </c>
      <c r="Y16" s="26">
        <v>3631273000</v>
      </c>
      <c r="Z16" s="26">
        <v>5640109000</v>
      </c>
      <c r="AC16" s="12">
        <v>2014</v>
      </c>
      <c r="AD16" s="11">
        <v>37967456000</v>
      </c>
      <c r="AE16" s="11">
        <v>43863514000</v>
      </c>
      <c r="AG16" s="12">
        <v>2006</v>
      </c>
      <c r="AH16" s="11">
        <v>11268312000</v>
      </c>
      <c r="AI16" s="11">
        <v>10899863000</v>
      </c>
      <c r="AN16">
        <v>2011</v>
      </c>
      <c r="AO16" s="8">
        <v>8127858000</v>
      </c>
      <c r="AP16">
        <v>2009</v>
      </c>
      <c r="AQ16" s="8">
        <v>1585673000</v>
      </c>
      <c r="AT16">
        <v>2007</v>
      </c>
      <c r="AU16" s="24">
        <v>7615736000</v>
      </c>
      <c r="AV16">
        <v>2011</v>
      </c>
      <c r="AW16" s="24">
        <v>23173218000</v>
      </c>
      <c r="AY16">
        <v>2007</v>
      </c>
      <c r="AZ16" s="11">
        <v>7374778000</v>
      </c>
      <c r="BA16">
        <v>2011</v>
      </c>
      <c r="BB16" s="11">
        <v>28874103000</v>
      </c>
      <c r="BQ16">
        <v>2007</v>
      </c>
      <c r="BR16" s="20">
        <v>3489757000</v>
      </c>
      <c r="BS16">
        <v>2011</v>
      </c>
      <c r="BT16" s="20">
        <v>6912595000</v>
      </c>
    </row>
    <row r="17" spans="1:72" x14ac:dyDescent="0.35">
      <c r="A17" s="17" t="s">
        <v>67</v>
      </c>
      <c r="B17" s="11">
        <f>B3+B8</f>
        <v>680902000</v>
      </c>
      <c r="C17" s="11">
        <f>C3+C8</f>
        <v>787883000</v>
      </c>
      <c r="D17" s="11">
        <f>D3+D8</f>
        <v>896953000</v>
      </c>
      <c r="E17" s="11">
        <f>E3+E8</f>
        <v>1212897000</v>
      </c>
      <c r="F17" s="11">
        <f>F4+F5+F8</f>
        <v>1804568000</v>
      </c>
      <c r="G17" s="11">
        <f>G4+G5+G8</f>
        <v>1673806000</v>
      </c>
      <c r="H17" s="11">
        <f>H4+H5+H8</f>
        <v>1953327000</v>
      </c>
      <c r="I17" s="11">
        <f>I4+I5+I8</f>
        <v>2846218000</v>
      </c>
      <c r="J17" s="11">
        <f>J7+J5</f>
        <v>3573248000</v>
      </c>
      <c r="K17" s="11">
        <f>K4+K5+K8</f>
        <v>3262088000</v>
      </c>
      <c r="L17" s="11">
        <f>L7+L5</f>
        <v>7283667000</v>
      </c>
      <c r="M17" s="11">
        <f t="shared" ref="M17:R17" si="2">M3+M8</f>
        <v>6095100000</v>
      </c>
      <c r="N17" s="11">
        <f t="shared" si="2"/>
        <v>7259178000</v>
      </c>
      <c r="O17" s="11">
        <f t="shared" si="2"/>
        <v>7696853000</v>
      </c>
      <c r="P17" s="11">
        <f t="shared" si="2"/>
        <v>5422379000</v>
      </c>
      <c r="Q17" s="11">
        <f t="shared" si="2"/>
        <v>5412878000</v>
      </c>
      <c r="R17" s="11">
        <f t="shared" si="2"/>
        <v>5979283000</v>
      </c>
      <c r="S17" s="11">
        <f>S11</f>
        <v>4117881000</v>
      </c>
      <c r="T17" s="11">
        <f>T11</f>
        <v>3622324000</v>
      </c>
      <c r="U17" s="11">
        <f>U3+U8</f>
        <v>5293345000</v>
      </c>
      <c r="V17" s="11">
        <f>V3+V8</f>
        <v>5338245000</v>
      </c>
      <c r="W17" s="11">
        <f>W3+W8</f>
        <v>5226901000</v>
      </c>
      <c r="X17" s="11">
        <f>X3+X8</f>
        <v>5671039000</v>
      </c>
      <c r="Y17" s="11">
        <f t="shared" ref="Y17:Z17" si="3">Y3+Y8</f>
        <v>6383422000</v>
      </c>
      <c r="Z17" s="11">
        <f t="shared" si="3"/>
        <v>17886321000</v>
      </c>
      <c r="AC17" s="12">
        <v>2015</v>
      </c>
      <c r="AD17" s="11">
        <v>38459182000</v>
      </c>
      <c r="AE17" s="11">
        <v>44661256000</v>
      </c>
      <c r="AG17" s="12">
        <v>2005</v>
      </c>
      <c r="AH17" s="11">
        <v>6484351000</v>
      </c>
      <c r="AI17" s="11">
        <v>3694784000</v>
      </c>
      <c r="AN17">
        <v>2012</v>
      </c>
      <c r="AO17" s="8">
        <v>8685609000</v>
      </c>
      <c r="AP17">
        <v>2008</v>
      </c>
      <c r="AQ17" s="8">
        <v>2274211000</v>
      </c>
      <c r="AT17">
        <v>2008</v>
      </c>
      <c r="AU17" s="24">
        <v>5269191000</v>
      </c>
      <c r="AV17">
        <v>2010</v>
      </c>
      <c r="AW17" s="24">
        <v>22700130000</v>
      </c>
      <c r="AY17">
        <v>2008</v>
      </c>
      <c r="AZ17" s="11">
        <v>7138251000</v>
      </c>
      <c r="BA17">
        <v>2010</v>
      </c>
      <c r="BB17" s="11">
        <v>19345233000</v>
      </c>
      <c r="BQ17">
        <v>2008</v>
      </c>
      <c r="BR17" s="20">
        <v>2980992000</v>
      </c>
      <c r="BS17">
        <v>2010</v>
      </c>
      <c r="BT17" s="20">
        <v>5572020000</v>
      </c>
    </row>
    <row r="18" spans="1:72" x14ac:dyDescent="0.35">
      <c r="B18" s="10">
        <v>680902000</v>
      </c>
      <c r="C18" s="10">
        <v>787883000</v>
      </c>
      <c r="D18" s="10">
        <v>896953000</v>
      </c>
      <c r="E18" s="10">
        <v>1212897000</v>
      </c>
      <c r="F18" s="10">
        <v>1804568000</v>
      </c>
      <c r="G18" s="10">
        <v>1673806000</v>
      </c>
      <c r="H18" s="10">
        <v>1953327000</v>
      </c>
      <c r="I18" s="10">
        <v>2846218000</v>
      </c>
      <c r="J18" s="10">
        <v>3573248000</v>
      </c>
      <c r="K18" s="10">
        <v>3262088000</v>
      </c>
      <c r="L18" s="10">
        <v>7283667000</v>
      </c>
      <c r="M18" s="10">
        <v>6095100000</v>
      </c>
      <c r="N18" s="10">
        <v>7259178000</v>
      </c>
      <c r="O18" s="10">
        <v>7696853000</v>
      </c>
      <c r="P18" s="10">
        <v>5422379000</v>
      </c>
      <c r="Q18" s="10">
        <v>5412878000</v>
      </c>
      <c r="R18" s="10">
        <v>5979283000</v>
      </c>
      <c r="S18" s="10">
        <v>4117881000</v>
      </c>
      <c r="T18" s="10">
        <v>3622324000</v>
      </c>
      <c r="U18" s="10">
        <v>5293345000</v>
      </c>
      <c r="V18" s="10">
        <v>5338245000</v>
      </c>
      <c r="W18" s="10">
        <v>5226901000</v>
      </c>
      <c r="AC18" s="12">
        <v>2016</v>
      </c>
      <c r="AD18" s="11">
        <v>34421850000</v>
      </c>
      <c r="AE18" s="11">
        <v>38425912000</v>
      </c>
      <c r="AG18" s="12">
        <v>2004</v>
      </c>
      <c r="AH18" s="11">
        <v>19933606000</v>
      </c>
      <c r="AI18" s="11">
        <v>5102512000</v>
      </c>
      <c r="AN18">
        <v>2013</v>
      </c>
      <c r="AO18" s="8">
        <v>6860349000</v>
      </c>
      <c r="AP18">
        <v>2007</v>
      </c>
      <c r="AQ18" s="8">
        <v>1191754000</v>
      </c>
      <c r="AT18">
        <v>2009</v>
      </c>
      <c r="AU18" s="24">
        <v>18875680000</v>
      </c>
      <c r="AV18">
        <v>2009</v>
      </c>
      <c r="AW18" s="24">
        <v>18875680000</v>
      </c>
      <c r="AY18">
        <v>2009</v>
      </c>
      <c r="AZ18" s="11">
        <v>8215955000</v>
      </c>
      <c r="BA18">
        <v>2009</v>
      </c>
      <c r="BB18" s="11">
        <v>8215955000</v>
      </c>
      <c r="BQ18">
        <v>2009</v>
      </c>
      <c r="BR18" s="20">
        <v>5155451000</v>
      </c>
      <c r="BS18">
        <v>2009</v>
      </c>
      <c r="BT18" s="20">
        <v>5155451000</v>
      </c>
    </row>
    <row r="19" spans="1:72" x14ac:dyDescent="0.35">
      <c r="C19" s="35">
        <f>C17/C20</f>
        <v>10203752.993871825</v>
      </c>
      <c r="D19" s="35">
        <f t="shared" ref="D19:Z19" si="4">D17/D20</f>
        <v>11256671.841409404</v>
      </c>
      <c r="E19" s="35">
        <f t="shared" si="4"/>
        <v>15671521.310007529</v>
      </c>
      <c r="F19" s="35">
        <f t="shared" si="4"/>
        <v>25042349.74289019</v>
      </c>
      <c r="G19" s="35">
        <f t="shared" si="4"/>
        <v>22842389.826543536</v>
      </c>
      <c r="H19" s="35">
        <f t="shared" si="4"/>
        <v>26888065.675001599</v>
      </c>
      <c r="I19" s="35">
        <f t="shared" si="4"/>
        <v>41075471.480277777</v>
      </c>
      <c r="J19" s="35">
        <f t="shared" si="4"/>
        <v>55328167.871321768</v>
      </c>
      <c r="K19" s="35">
        <f t="shared" si="4"/>
        <v>44903014.445340432</v>
      </c>
      <c r="L19" s="35">
        <f t="shared" si="4"/>
        <v>97917197.213901684</v>
      </c>
      <c r="M19" s="35">
        <f t="shared" si="4"/>
        <v>83565627.647086948</v>
      </c>
      <c r="N19" s="35">
        <f t="shared" si="4"/>
        <v>93623363.608888566</v>
      </c>
      <c r="O19" s="35">
        <f t="shared" si="4"/>
        <v>96976290.312013358</v>
      </c>
      <c r="P19" s="35">
        <f t="shared" si="4"/>
        <v>67292692.617867187</v>
      </c>
      <c r="Q19" s="35">
        <f t="shared" si="4"/>
        <v>53757085.591194138</v>
      </c>
      <c r="R19" s="35">
        <f t="shared" si="4"/>
        <v>54633730.414474092</v>
      </c>
      <c r="S19" s="35">
        <f t="shared" si="4"/>
        <v>37107047.493977778</v>
      </c>
      <c r="T19" s="35">
        <f t="shared" si="4"/>
        <v>31067897.768999189</v>
      </c>
      <c r="U19" s="35">
        <f t="shared" si="4"/>
        <v>44350123.062243693</v>
      </c>
      <c r="V19" s="35">
        <f t="shared" si="4"/>
        <v>42107428.172978021</v>
      </c>
      <c r="W19" s="35">
        <f t="shared" si="4"/>
        <v>38700584.925218418</v>
      </c>
      <c r="X19" s="35">
        <f t="shared" si="4"/>
        <v>39939707.021621235</v>
      </c>
      <c r="Y19" s="35">
        <f t="shared" si="4"/>
        <v>46992211.425206125</v>
      </c>
      <c r="Z19" s="35">
        <f t="shared" si="4"/>
        <v>133430220.06713912</v>
      </c>
      <c r="AC19" s="12">
        <v>2017</v>
      </c>
      <c r="AD19" s="11">
        <v>31047539000</v>
      </c>
      <c r="AE19" s="11">
        <v>34704549000</v>
      </c>
      <c r="AG19" s="12">
        <v>2003</v>
      </c>
      <c r="AH19" s="11">
        <v>7989328000</v>
      </c>
      <c r="AI19" s="11">
        <v>5478439000</v>
      </c>
      <c r="AN19">
        <v>2014</v>
      </c>
      <c r="AO19" s="8">
        <v>3007737000</v>
      </c>
      <c r="AP19">
        <v>2006</v>
      </c>
      <c r="AQ19" s="8">
        <v>1776667000</v>
      </c>
      <c r="AT19">
        <v>2010</v>
      </c>
      <c r="AU19" s="24">
        <v>22700130000</v>
      </c>
      <c r="AV19">
        <v>2008</v>
      </c>
      <c r="AW19" s="24">
        <v>5269191000</v>
      </c>
      <c r="AY19">
        <v>2010</v>
      </c>
      <c r="AZ19" s="11">
        <v>19345233000</v>
      </c>
      <c r="BA19">
        <v>2008</v>
      </c>
      <c r="BB19" s="11">
        <v>7138251000</v>
      </c>
      <c r="BQ19">
        <v>2010</v>
      </c>
      <c r="BR19" s="20">
        <v>5572020000</v>
      </c>
      <c r="BS19">
        <v>2008</v>
      </c>
      <c r="BT19" s="20">
        <v>2980992000</v>
      </c>
    </row>
    <row r="20" spans="1:72" x14ac:dyDescent="0.35">
      <c r="A20" s="12" t="s">
        <v>58</v>
      </c>
      <c r="C20" s="32">
        <v>77.215020833333298</v>
      </c>
      <c r="D20" s="32">
        <v>79.681899999999999</v>
      </c>
      <c r="E20" s="32">
        <v>77.394975000000002</v>
      </c>
      <c r="F20" s="32">
        <v>72.060649999999995</v>
      </c>
      <c r="G20" s="32">
        <v>73.276308333333304</v>
      </c>
      <c r="H20" s="32">
        <v>72.646616666666702</v>
      </c>
      <c r="I20" s="32">
        <v>69.292400000000001</v>
      </c>
      <c r="J20" s="32">
        <v>64.582800000000006</v>
      </c>
      <c r="K20" s="32">
        <v>72.6474166666667</v>
      </c>
      <c r="L20" s="32">
        <v>74.3859833333333</v>
      </c>
      <c r="M20" s="32">
        <v>72.937883333333303</v>
      </c>
      <c r="N20" s="32">
        <v>77.535966666666695</v>
      </c>
      <c r="O20" s="32">
        <v>79.368399999999994</v>
      </c>
      <c r="P20" s="32">
        <v>80.579016666666703</v>
      </c>
      <c r="Q20" s="32">
        <v>100.69143333333299</v>
      </c>
      <c r="R20" s="32">
        <v>109.44306666666699</v>
      </c>
      <c r="S20" s="32">
        <v>110.97301666666699</v>
      </c>
      <c r="T20" s="32">
        <v>116.593791666667</v>
      </c>
      <c r="U20" s="32">
        <v>119.353558333333</v>
      </c>
      <c r="V20" s="32">
        <v>126.77679999999999</v>
      </c>
      <c r="W20" s="32">
        <v>135.06</v>
      </c>
      <c r="X20" s="32">
        <v>141.99</v>
      </c>
      <c r="Y20" s="32">
        <v>135.84</v>
      </c>
      <c r="Z20" s="32">
        <v>134.05000000000001</v>
      </c>
      <c r="AC20" s="12">
        <v>2018</v>
      </c>
      <c r="AD20" s="11">
        <v>31278065000</v>
      </c>
      <c r="AE20" s="11">
        <v>35974804000</v>
      </c>
      <c r="AG20" s="12">
        <v>2002</v>
      </c>
      <c r="AH20" s="11">
        <v>7256217000</v>
      </c>
      <c r="AI20" s="11">
        <v>4774232000</v>
      </c>
      <c r="AN20">
        <v>2015</v>
      </c>
      <c r="AO20" s="8">
        <v>3429022000</v>
      </c>
      <c r="AP20">
        <v>2005</v>
      </c>
      <c r="AQ20" s="8">
        <v>1246598000</v>
      </c>
      <c r="AT20">
        <v>2011</v>
      </c>
      <c r="AU20" s="24">
        <v>23173218000</v>
      </c>
      <c r="AV20">
        <v>2007</v>
      </c>
      <c r="AW20" s="24">
        <v>7615736000</v>
      </c>
      <c r="AY20">
        <v>2011</v>
      </c>
      <c r="AZ20" s="11">
        <v>28874103000</v>
      </c>
      <c r="BA20">
        <v>2007</v>
      </c>
      <c r="BB20" s="11">
        <v>7374778000</v>
      </c>
      <c r="BQ20">
        <v>2011</v>
      </c>
      <c r="BR20" s="20">
        <v>6912595000</v>
      </c>
      <c r="BS20">
        <v>2007</v>
      </c>
      <c r="BT20" s="20">
        <v>3489757000</v>
      </c>
    </row>
    <row r="21" spans="1:72" x14ac:dyDescent="0.35">
      <c r="A21" s="12" t="s">
        <v>19</v>
      </c>
      <c r="B21" s="12">
        <v>1999</v>
      </c>
      <c r="C21" s="12">
        <v>2000</v>
      </c>
      <c r="D21" s="12">
        <v>2001</v>
      </c>
      <c r="E21" s="12">
        <v>2002</v>
      </c>
      <c r="F21" s="12">
        <v>2003</v>
      </c>
      <c r="G21" s="12">
        <v>2004</v>
      </c>
      <c r="H21" s="12">
        <v>2005</v>
      </c>
      <c r="I21" s="12">
        <v>2006</v>
      </c>
      <c r="J21" s="12">
        <v>2007</v>
      </c>
      <c r="K21" s="12">
        <v>2008</v>
      </c>
      <c r="L21" s="12">
        <v>2009</v>
      </c>
      <c r="M21" s="12">
        <v>2010</v>
      </c>
      <c r="N21" s="12">
        <v>2011</v>
      </c>
      <c r="O21" s="12">
        <v>2012</v>
      </c>
      <c r="P21" s="12">
        <v>2013</v>
      </c>
      <c r="Q21" s="12">
        <v>2014</v>
      </c>
      <c r="R21" s="12">
        <v>2015</v>
      </c>
      <c r="S21" s="12">
        <v>2016</v>
      </c>
      <c r="T21" s="12">
        <v>2017</v>
      </c>
      <c r="U21" s="12">
        <v>2018</v>
      </c>
      <c r="V21" s="12">
        <v>2019</v>
      </c>
      <c r="W21" s="12">
        <v>2020</v>
      </c>
      <c r="X21" s="12">
        <v>2021</v>
      </c>
      <c r="Y21" s="12">
        <v>2022</v>
      </c>
      <c r="Z21" s="12">
        <v>2023</v>
      </c>
      <c r="AC21" s="12">
        <v>2019</v>
      </c>
      <c r="AD21" s="11">
        <v>55297620000</v>
      </c>
      <c r="AE21" s="11">
        <v>36292524000</v>
      </c>
      <c r="AG21" s="12">
        <v>2001</v>
      </c>
      <c r="AH21" s="11">
        <v>6520232000</v>
      </c>
      <c r="AI21" s="11">
        <v>4454559000</v>
      </c>
      <c r="AN21">
        <v>2016</v>
      </c>
      <c r="AO21" s="8">
        <v>4117881000</v>
      </c>
      <c r="AP21">
        <v>2004</v>
      </c>
      <c r="AQ21" s="8">
        <v>1062242000</v>
      </c>
      <c r="AT21">
        <v>2012</v>
      </c>
      <c r="AU21" s="24">
        <v>19618095000</v>
      </c>
      <c r="AV21">
        <v>2006</v>
      </c>
      <c r="AW21" s="24">
        <v>7346539000</v>
      </c>
      <c r="AY21">
        <v>2012</v>
      </c>
      <c r="AZ21" s="11">
        <v>28387232000</v>
      </c>
      <c r="BA21">
        <v>2006</v>
      </c>
      <c r="BB21" s="11">
        <v>5623943000</v>
      </c>
      <c r="BQ21">
        <v>2012</v>
      </c>
      <c r="BR21" s="20">
        <v>12342022000</v>
      </c>
      <c r="BS21">
        <v>2006</v>
      </c>
      <c r="BT21" s="20">
        <v>2798151000</v>
      </c>
    </row>
    <row r="22" spans="1:72" x14ac:dyDescent="0.35">
      <c r="A22" s="13" t="s">
        <v>39</v>
      </c>
      <c r="B22" s="11">
        <f>SUM(B3:B6)</f>
        <v>482701000</v>
      </c>
      <c r="C22" s="11">
        <f t="shared" ref="C22:R22" si="5">SUM(C3:C6)</f>
        <v>537751000</v>
      </c>
      <c r="D22" s="11">
        <f t="shared" si="5"/>
        <v>587827000</v>
      </c>
      <c r="E22" s="11">
        <f t="shared" si="5"/>
        <v>837062000</v>
      </c>
      <c r="F22" s="11">
        <f t="shared" si="5"/>
        <v>1203133000</v>
      </c>
      <c r="G22" s="11">
        <f t="shared" si="5"/>
        <v>1062242000</v>
      </c>
      <c r="H22" s="11">
        <f t="shared" si="5"/>
        <v>1246598000</v>
      </c>
      <c r="I22" s="11">
        <f t="shared" si="5"/>
        <v>1776667000</v>
      </c>
      <c r="J22" s="11">
        <f t="shared" si="5"/>
        <v>1191754000</v>
      </c>
      <c r="K22" s="11">
        <f t="shared" si="5"/>
        <v>2274211000</v>
      </c>
      <c r="L22" s="11">
        <f t="shared" si="5"/>
        <v>1585673000</v>
      </c>
      <c r="M22" s="11">
        <f t="shared" si="5"/>
        <v>5571725000</v>
      </c>
      <c r="N22" s="11">
        <f t="shared" si="5"/>
        <v>8127858000</v>
      </c>
      <c r="O22" s="11">
        <f t="shared" si="5"/>
        <v>8685609000</v>
      </c>
      <c r="P22" s="11">
        <f t="shared" si="5"/>
        <v>6860349000</v>
      </c>
      <c r="Q22" s="11">
        <f t="shared" si="5"/>
        <v>3007737000</v>
      </c>
      <c r="R22" s="11">
        <f t="shared" si="5"/>
        <v>3429022000</v>
      </c>
      <c r="S22" s="11">
        <f>S11</f>
        <v>4117881000</v>
      </c>
      <c r="T22" s="11">
        <f>T11</f>
        <v>3622324000</v>
      </c>
      <c r="U22" s="11">
        <f t="shared" ref="U22:Z22" si="6">SUM(U3:U6)</f>
        <v>3157141000</v>
      </c>
      <c r="V22" s="11">
        <f t="shared" si="6"/>
        <v>3202041000</v>
      </c>
      <c r="W22" s="11">
        <f t="shared" si="6"/>
        <v>3117974000</v>
      </c>
      <c r="X22" s="11">
        <f t="shared" si="6"/>
        <v>3244688000</v>
      </c>
      <c r="Y22" s="11">
        <f t="shared" si="6"/>
        <v>3631273000</v>
      </c>
      <c r="Z22" s="11">
        <f t="shared" si="6"/>
        <v>5640109000</v>
      </c>
      <c r="AC22" s="12">
        <v>2020</v>
      </c>
      <c r="AD22" s="11">
        <v>29882866000</v>
      </c>
      <c r="AE22" s="11">
        <v>33264257000</v>
      </c>
      <c r="AG22" s="12">
        <v>2000</v>
      </c>
      <c r="AH22" s="11">
        <v>6325058000</v>
      </c>
      <c r="AI22" s="11">
        <v>4347683000</v>
      </c>
      <c r="AN22">
        <v>2017</v>
      </c>
      <c r="AO22" s="8">
        <v>3622324000</v>
      </c>
      <c r="AP22">
        <v>2003</v>
      </c>
      <c r="AQ22" s="8">
        <v>1203133000</v>
      </c>
      <c r="AT22">
        <v>2013</v>
      </c>
      <c r="AU22" s="24">
        <v>21604452000</v>
      </c>
      <c r="AV22">
        <v>2005</v>
      </c>
      <c r="AW22" s="24">
        <v>2925686000</v>
      </c>
      <c r="AY22">
        <v>2013</v>
      </c>
      <c r="AZ22" s="11">
        <v>20022340000</v>
      </c>
      <c r="BA22">
        <v>2005</v>
      </c>
      <c r="BB22" s="11">
        <v>1814563000</v>
      </c>
      <c r="BQ22">
        <v>2013</v>
      </c>
      <c r="BR22" s="20">
        <v>9923617000</v>
      </c>
      <c r="BS22">
        <v>2005</v>
      </c>
      <c r="BT22" s="20">
        <v>2716461000</v>
      </c>
    </row>
    <row r="23" spans="1:72" x14ac:dyDescent="0.35">
      <c r="AC23" s="12">
        <v>2021</v>
      </c>
      <c r="AD23" s="11">
        <v>29986090000</v>
      </c>
      <c r="AE23" s="11">
        <v>34226522000</v>
      </c>
      <c r="AG23" s="12">
        <v>1999</v>
      </c>
      <c r="AH23" s="11">
        <v>7050114000</v>
      </c>
      <c r="AI23" s="11">
        <v>4244466000</v>
      </c>
      <c r="AN23">
        <v>2018</v>
      </c>
      <c r="AO23" s="8">
        <v>3157141000</v>
      </c>
      <c r="AP23">
        <v>2002</v>
      </c>
      <c r="AQ23" s="8">
        <v>837062000</v>
      </c>
      <c r="AT23">
        <v>2014</v>
      </c>
      <c r="AU23" s="24">
        <v>25233155000</v>
      </c>
      <c r="AV23">
        <v>2004</v>
      </c>
      <c r="AW23" s="24">
        <v>2959456960</v>
      </c>
      <c r="AY23">
        <v>2014</v>
      </c>
      <c r="AZ23" s="11">
        <v>13148714000</v>
      </c>
      <c r="BA23">
        <v>2004</v>
      </c>
      <c r="BB23" s="11">
        <v>15909544000</v>
      </c>
      <c r="BQ23">
        <v>2014</v>
      </c>
      <c r="BR23" s="20">
        <v>19405864000</v>
      </c>
      <c r="BS23">
        <v>2004</v>
      </c>
      <c r="BT23" s="20">
        <v>2350256000</v>
      </c>
    </row>
    <row r="24" spans="1:72" x14ac:dyDescent="0.35">
      <c r="AC24" s="12">
        <v>2022</v>
      </c>
      <c r="AD24" s="11">
        <v>34221457000</v>
      </c>
      <c r="AE24" s="11">
        <v>40716548000</v>
      </c>
      <c r="AN24">
        <v>2019</v>
      </c>
      <c r="AO24" s="8">
        <v>3202041000</v>
      </c>
      <c r="AP24">
        <v>2001</v>
      </c>
      <c r="AQ24" s="8">
        <v>587827000</v>
      </c>
      <c r="AT24">
        <v>2015</v>
      </c>
      <c r="AU24" s="24">
        <v>25789795000</v>
      </c>
      <c r="AV24">
        <v>2003</v>
      </c>
      <c r="AW24" s="24">
        <v>3177494620</v>
      </c>
      <c r="AY24">
        <v>2015</v>
      </c>
      <c r="AZ24" s="11">
        <v>12549139000</v>
      </c>
      <c r="BA24">
        <v>2003</v>
      </c>
      <c r="BB24" s="11">
        <v>3845438000</v>
      </c>
      <c r="BQ24">
        <v>2015</v>
      </c>
      <c r="BR24" s="20">
        <v>19930760000</v>
      </c>
      <c r="BS24">
        <v>2003</v>
      </c>
      <c r="BT24" s="20">
        <v>2339322000</v>
      </c>
    </row>
    <row r="25" spans="1:72" x14ac:dyDescent="0.35">
      <c r="AC25" s="12">
        <v>2023</v>
      </c>
      <c r="AD25" s="11">
        <v>690878968490</v>
      </c>
      <c r="AE25" s="11">
        <v>53620793000</v>
      </c>
      <c r="AN25">
        <v>2020</v>
      </c>
      <c r="AO25" s="8">
        <v>3117974000</v>
      </c>
      <c r="AP25">
        <v>2000</v>
      </c>
      <c r="AQ25" s="8">
        <v>537751000</v>
      </c>
      <c r="AT25">
        <v>2016</v>
      </c>
      <c r="AU25" s="24">
        <v>19056672000</v>
      </c>
      <c r="AV25">
        <v>2002</v>
      </c>
      <c r="AW25" s="24">
        <v>2769054560</v>
      </c>
      <c r="AY25">
        <v>2016</v>
      </c>
      <c r="AZ25" s="11">
        <v>11218880000</v>
      </c>
      <c r="BA25">
        <v>2002</v>
      </c>
      <c r="BB25" s="11">
        <v>3647290000</v>
      </c>
      <c r="BQ25">
        <v>2016</v>
      </c>
      <c r="BR25" s="20">
        <v>19085089000</v>
      </c>
      <c r="BS25">
        <v>2002</v>
      </c>
      <c r="BT25" s="20">
        <v>2248580000</v>
      </c>
    </row>
    <row r="26" spans="1:72" x14ac:dyDescent="0.35">
      <c r="A26" s="12" t="s">
        <v>19</v>
      </c>
      <c r="B26" s="12">
        <v>1999</v>
      </c>
      <c r="C26" s="12">
        <v>2000</v>
      </c>
      <c r="D26" s="12">
        <v>2001</v>
      </c>
      <c r="E26" s="12">
        <v>2002</v>
      </c>
      <c r="F26" s="12">
        <v>2003</v>
      </c>
      <c r="G26" s="12">
        <v>2004</v>
      </c>
      <c r="H26" s="12">
        <v>2005</v>
      </c>
      <c r="I26" s="12">
        <v>2006</v>
      </c>
      <c r="J26" s="12">
        <v>2007</v>
      </c>
      <c r="K26" s="12">
        <v>2008</v>
      </c>
      <c r="L26" s="12">
        <v>2009</v>
      </c>
      <c r="M26" s="12">
        <v>2010</v>
      </c>
      <c r="N26" s="12">
        <v>2011</v>
      </c>
      <c r="O26" s="12">
        <v>2012</v>
      </c>
      <c r="P26" s="12">
        <v>2013</v>
      </c>
      <c r="Q26" s="12">
        <v>2014</v>
      </c>
      <c r="R26" s="12">
        <v>2015</v>
      </c>
      <c r="S26" s="12">
        <v>2016</v>
      </c>
      <c r="T26" s="12">
        <v>2017</v>
      </c>
      <c r="U26" s="12">
        <v>2018</v>
      </c>
      <c r="V26" s="12">
        <v>2019</v>
      </c>
      <c r="W26" s="12">
        <v>2020</v>
      </c>
      <c r="X26" s="12">
        <v>2021</v>
      </c>
      <c r="Y26" s="12">
        <v>2022</v>
      </c>
      <c r="Z26" s="12">
        <v>2023</v>
      </c>
      <c r="AA26" s="10" t="s">
        <v>41</v>
      </c>
      <c r="AO26" s="8"/>
      <c r="AT26">
        <v>2017</v>
      </c>
      <c r="AU26" s="24">
        <v>16005614000</v>
      </c>
      <c r="AV26">
        <v>2001</v>
      </c>
      <c r="AW26" s="24">
        <v>2583644220</v>
      </c>
      <c r="AY26">
        <v>2017</v>
      </c>
      <c r="AZ26" s="25">
        <v>12305577666.666666</v>
      </c>
      <c r="BA26">
        <v>2001</v>
      </c>
      <c r="BB26" s="11">
        <v>3492054000</v>
      </c>
      <c r="BQ26">
        <v>2017</v>
      </c>
      <c r="BR26" s="20">
        <v>15119637333.333334</v>
      </c>
      <c r="BS26">
        <v>2001</v>
      </c>
      <c r="BT26" s="20">
        <v>2060842000</v>
      </c>
    </row>
    <row r="27" spans="1:72" x14ac:dyDescent="0.35">
      <c r="A27" s="13" t="s">
        <v>33</v>
      </c>
      <c r="B27" s="14">
        <f>SUBTOTAL(2,B28:B30)</f>
        <v>2</v>
      </c>
      <c r="C27" s="14">
        <f>SUBTOTAL(2,C28:C30)</f>
        <v>2</v>
      </c>
      <c r="D27" s="14">
        <f t="shared" ref="D27:Z27" si="7">SUBTOTAL(2,D28:D30)</f>
        <v>2</v>
      </c>
      <c r="E27" s="14">
        <f t="shared" si="7"/>
        <v>2</v>
      </c>
      <c r="F27" s="14">
        <f t="shared" si="7"/>
        <v>2</v>
      </c>
      <c r="G27" s="14">
        <f t="shared" si="7"/>
        <v>2</v>
      </c>
      <c r="H27" s="14">
        <f t="shared" si="7"/>
        <v>2</v>
      </c>
      <c r="I27" s="14">
        <f t="shared" si="7"/>
        <v>2</v>
      </c>
      <c r="J27" s="14">
        <f t="shared" si="7"/>
        <v>2</v>
      </c>
      <c r="K27" s="14">
        <f t="shared" si="7"/>
        <v>2</v>
      </c>
      <c r="L27" s="14">
        <f t="shared" si="7"/>
        <v>2</v>
      </c>
      <c r="M27" s="14">
        <f t="shared" si="7"/>
        <v>2</v>
      </c>
      <c r="N27" s="14">
        <f t="shared" si="7"/>
        <v>2</v>
      </c>
      <c r="O27" s="14">
        <f t="shared" si="7"/>
        <v>2</v>
      </c>
      <c r="P27" s="14">
        <f t="shared" si="7"/>
        <v>2</v>
      </c>
      <c r="Q27" s="14">
        <f t="shared" si="7"/>
        <v>2</v>
      </c>
      <c r="R27" s="14">
        <f t="shared" si="7"/>
        <v>2</v>
      </c>
      <c r="S27" s="14">
        <f t="shared" si="7"/>
        <v>2</v>
      </c>
      <c r="T27" s="14">
        <f t="shared" si="7"/>
        <v>2</v>
      </c>
      <c r="U27" s="14">
        <f t="shared" si="7"/>
        <v>2</v>
      </c>
      <c r="V27" s="14">
        <f t="shared" si="7"/>
        <v>2</v>
      </c>
      <c r="W27" s="14">
        <f t="shared" si="7"/>
        <v>2</v>
      </c>
      <c r="X27" s="14">
        <f t="shared" si="7"/>
        <v>2</v>
      </c>
      <c r="Y27" s="14">
        <f t="shared" si="7"/>
        <v>2</v>
      </c>
      <c r="Z27" s="14">
        <f t="shared" si="7"/>
        <v>2</v>
      </c>
      <c r="AA27" s="22">
        <v>0.57999999999999996</v>
      </c>
      <c r="AO27" s="20"/>
      <c r="AT27">
        <v>2018</v>
      </c>
      <c r="AU27" s="24">
        <v>15272000000</v>
      </c>
      <c r="AV27">
        <v>2000</v>
      </c>
      <c r="AW27" s="24">
        <v>2521656140</v>
      </c>
      <c r="AY27">
        <v>2018</v>
      </c>
      <c r="AZ27" s="25">
        <v>12024532222.222221</v>
      </c>
      <c r="BA27">
        <v>2000</v>
      </c>
      <c r="BB27" s="11">
        <v>3462836000</v>
      </c>
      <c r="BS27">
        <v>2000</v>
      </c>
      <c r="BT27" s="20">
        <v>2011474000</v>
      </c>
    </row>
    <row r="28" spans="1:72" x14ac:dyDescent="0.35">
      <c r="A28" s="17" t="s">
        <v>34</v>
      </c>
      <c r="B28" s="23">
        <f t="shared" ref="B28:F28" si="8">B30*$AA$27</f>
        <v>2461790280</v>
      </c>
      <c r="C28" s="23">
        <f t="shared" si="8"/>
        <v>2521656140</v>
      </c>
      <c r="D28" s="23">
        <f t="shared" si="8"/>
        <v>2583644220</v>
      </c>
      <c r="E28" s="23">
        <f t="shared" si="8"/>
        <v>2769054560</v>
      </c>
      <c r="F28" s="23">
        <f t="shared" si="8"/>
        <v>3177494620</v>
      </c>
      <c r="G28" s="23">
        <f>G30*$AA$27</f>
        <v>2959456960</v>
      </c>
      <c r="H28" s="11">
        <v>2925686000</v>
      </c>
      <c r="I28" s="11">
        <v>7346539000</v>
      </c>
      <c r="J28" s="11">
        <v>7615736000</v>
      </c>
      <c r="K28" s="11">
        <v>5269191000</v>
      </c>
      <c r="L28" s="11">
        <v>18875680000</v>
      </c>
      <c r="M28" s="11">
        <v>22700130000</v>
      </c>
      <c r="N28" s="11">
        <v>23173218000</v>
      </c>
      <c r="O28" s="11">
        <v>19618095000</v>
      </c>
      <c r="P28" s="11">
        <v>21604452000</v>
      </c>
      <c r="Q28" s="11">
        <v>25233155000</v>
      </c>
      <c r="R28" s="11">
        <v>25789795000</v>
      </c>
      <c r="S28" s="11">
        <v>19056672000</v>
      </c>
      <c r="T28" s="11">
        <v>16005614000</v>
      </c>
      <c r="U28" s="11">
        <v>15272000000</v>
      </c>
      <c r="V28" s="11">
        <v>15284380000</v>
      </c>
      <c r="W28" s="11">
        <v>14903360000</v>
      </c>
      <c r="X28" s="11">
        <v>15261761000</v>
      </c>
      <c r="Y28" s="11">
        <v>17083228000</v>
      </c>
      <c r="Z28" s="11">
        <v>30779201000</v>
      </c>
      <c r="AO28" s="20"/>
      <c r="AT28">
        <v>2019</v>
      </c>
      <c r="AU28" s="24">
        <v>15284380000</v>
      </c>
      <c r="AV28">
        <v>1999</v>
      </c>
      <c r="AW28" s="24">
        <v>2461790280</v>
      </c>
      <c r="AY28">
        <v>2019</v>
      </c>
      <c r="AZ28" s="25">
        <v>11849663296.296295</v>
      </c>
      <c r="BA28">
        <v>1999</v>
      </c>
      <c r="BB28" s="11">
        <v>1425120000</v>
      </c>
      <c r="BS28">
        <v>1999</v>
      </c>
      <c r="BT28" s="20">
        <v>4896040000</v>
      </c>
    </row>
    <row r="29" spans="1:72" x14ac:dyDescent="0.35">
      <c r="A29" s="17" t="s">
        <v>35</v>
      </c>
      <c r="B29" s="11"/>
      <c r="C29" s="11"/>
      <c r="D29" s="11"/>
      <c r="E29" s="11"/>
      <c r="F29" s="11"/>
      <c r="G29" s="11"/>
      <c r="H29" s="11">
        <v>769098000</v>
      </c>
      <c r="I29" s="11">
        <v>3553324000</v>
      </c>
      <c r="J29" s="11">
        <v>4440315000</v>
      </c>
      <c r="K29" s="11">
        <v>3847885000</v>
      </c>
      <c r="L29" s="11">
        <v>8515150000</v>
      </c>
      <c r="M29" s="11">
        <v>7567720000</v>
      </c>
      <c r="N29" s="11">
        <v>8158012000</v>
      </c>
      <c r="O29" s="11">
        <v>11285813000</v>
      </c>
      <c r="P29" s="11">
        <v>11813725000</v>
      </c>
      <c r="Q29" s="11">
        <v>18630359000</v>
      </c>
      <c r="R29" s="11">
        <v>18871461000</v>
      </c>
      <c r="S29" s="11">
        <v>19369240000</v>
      </c>
      <c r="T29" s="11">
        <v>18698935000</v>
      </c>
      <c r="U29" s="11">
        <v>20702804000</v>
      </c>
      <c r="V29" s="11">
        <v>21008144000</v>
      </c>
      <c r="W29" s="11">
        <v>18360897000</v>
      </c>
      <c r="X29" s="11">
        <v>18964761000</v>
      </c>
      <c r="Y29" s="11">
        <v>23633320000</v>
      </c>
      <c r="Z29" s="11">
        <v>22841592000</v>
      </c>
      <c r="AC29" s="12">
        <v>1999</v>
      </c>
      <c r="AD29" s="11">
        <v>434649000</v>
      </c>
      <c r="AE29" s="12">
        <v>2019</v>
      </c>
      <c r="AF29" s="11">
        <v>3202041000</v>
      </c>
      <c r="AO29" s="20"/>
    </row>
    <row r="30" spans="1:72" x14ac:dyDescent="0.35">
      <c r="A30" s="17" t="s">
        <v>36</v>
      </c>
      <c r="B30" s="11">
        <v>4244466000</v>
      </c>
      <c r="C30" s="11">
        <v>4347683000</v>
      </c>
      <c r="D30" s="11">
        <v>4454559000</v>
      </c>
      <c r="E30" s="11">
        <v>4774232000</v>
      </c>
      <c r="F30" s="11">
        <v>5478439000</v>
      </c>
      <c r="G30" s="11">
        <v>5102512000</v>
      </c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C30" s="12">
        <v>2000</v>
      </c>
      <c r="AD30" s="11">
        <v>474886000</v>
      </c>
      <c r="AE30" s="12">
        <v>2018</v>
      </c>
      <c r="AF30" s="11">
        <v>3157141000</v>
      </c>
    </row>
    <row r="31" spans="1:72" x14ac:dyDescent="0.35">
      <c r="A31" s="15" t="s">
        <v>23</v>
      </c>
      <c r="B31" s="19">
        <f>SUM(B29:B30)</f>
        <v>4244466000</v>
      </c>
      <c r="C31" s="19">
        <f t="shared" ref="C31:G31" si="9">SUM(C29:C30)</f>
        <v>4347683000</v>
      </c>
      <c r="D31" s="19">
        <f t="shared" si="9"/>
        <v>4454559000</v>
      </c>
      <c r="E31" s="19">
        <f t="shared" si="9"/>
        <v>4774232000</v>
      </c>
      <c r="F31" s="19">
        <f t="shared" si="9"/>
        <v>5478439000</v>
      </c>
      <c r="G31" s="19">
        <f t="shared" si="9"/>
        <v>5102512000</v>
      </c>
      <c r="H31" s="19">
        <f t="shared" ref="H31:Z31" si="10">SUM(H28:H30)</f>
        <v>3694784000</v>
      </c>
      <c r="I31" s="19">
        <f t="shared" si="10"/>
        <v>10899863000</v>
      </c>
      <c r="J31" s="19">
        <f t="shared" si="10"/>
        <v>12056051000</v>
      </c>
      <c r="K31" s="19">
        <f t="shared" si="10"/>
        <v>9117076000</v>
      </c>
      <c r="L31" s="19">
        <f t="shared" si="10"/>
        <v>27390830000</v>
      </c>
      <c r="M31" s="19">
        <f t="shared" si="10"/>
        <v>30267850000</v>
      </c>
      <c r="N31" s="19">
        <f t="shared" si="10"/>
        <v>31331230000</v>
      </c>
      <c r="O31" s="19">
        <f t="shared" si="10"/>
        <v>30903908000</v>
      </c>
      <c r="P31" s="19">
        <f t="shared" si="10"/>
        <v>33418177000</v>
      </c>
      <c r="Q31" s="19">
        <f t="shared" si="10"/>
        <v>43863514000</v>
      </c>
      <c r="R31" s="19">
        <f t="shared" si="10"/>
        <v>44661256000</v>
      </c>
      <c r="S31" s="19">
        <f t="shared" si="10"/>
        <v>38425912000</v>
      </c>
      <c r="T31" s="19">
        <f t="shared" si="10"/>
        <v>34704549000</v>
      </c>
      <c r="U31" s="19">
        <f t="shared" si="10"/>
        <v>35974804000</v>
      </c>
      <c r="V31" s="19">
        <f t="shared" si="10"/>
        <v>36292524000</v>
      </c>
      <c r="W31" s="19">
        <f t="shared" si="10"/>
        <v>33264257000</v>
      </c>
      <c r="X31" s="19">
        <f t="shared" si="10"/>
        <v>34226522000</v>
      </c>
      <c r="Y31" s="19">
        <f t="shared" si="10"/>
        <v>40716548000</v>
      </c>
      <c r="Z31" s="19">
        <f t="shared" si="10"/>
        <v>53620793000</v>
      </c>
      <c r="AC31" s="12">
        <v>2001</v>
      </c>
      <c r="AD31" s="11">
        <v>517444000</v>
      </c>
      <c r="AE31" s="12">
        <v>2017</v>
      </c>
      <c r="AF31" s="11">
        <v>3622324000</v>
      </c>
    </row>
    <row r="32" spans="1:72" x14ac:dyDescent="0.35">
      <c r="A32" s="10" t="s">
        <v>40</v>
      </c>
      <c r="B32" s="11"/>
      <c r="C32" s="11"/>
      <c r="H32" s="21">
        <f>H28/H31</f>
        <v>0.79184222947809668</v>
      </c>
      <c r="I32" s="21">
        <f t="shared" ref="I32:Z32" si="11">I28/I31</f>
        <v>0.67400287508200796</v>
      </c>
      <c r="J32" s="21">
        <f t="shared" si="11"/>
        <v>0.63169407627754726</v>
      </c>
      <c r="K32" s="21">
        <f t="shared" si="11"/>
        <v>0.57794746912277573</v>
      </c>
      <c r="L32" s="21">
        <f t="shared" si="11"/>
        <v>0.68912406086270483</v>
      </c>
      <c r="M32" s="21">
        <f t="shared" si="11"/>
        <v>0.74997497344542141</v>
      </c>
      <c r="N32" s="21">
        <f t="shared" si="11"/>
        <v>0.73962043622289964</v>
      </c>
      <c r="O32" s="21">
        <f t="shared" si="11"/>
        <v>0.63480951988337531</v>
      </c>
      <c r="P32" s="21">
        <f t="shared" si="11"/>
        <v>0.64648804750779798</v>
      </c>
      <c r="Q32" s="21">
        <f t="shared" si="11"/>
        <v>0.57526524208707952</v>
      </c>
      <c r="R32" s="21">
        <f t="shared" si="11"/>
        <v>0.57745341958139285</v>
      </c>
      <c r="S32" s="21">
        <f t="shared" si="11"/>
        <v>0.49593284864650705</v>
      </c>
      <c r="T32" s="21">
        <f t="shared" si="11"/>
        <v>0.46119642701595115</v>
      </c>
      <c r="U32" s="21">
        <f t="shared" si="11"/>
        <v>0.42451933859042013</v>
      </c>
      <c r="V32" s="21">
        <f t="shared" si="11"/>
        <v>0.42114403506352988</v>
      </c>
      <c r="W32" s="21">
        <f t="shared" si="11"/>
        <v>0.44802924652728604</v>
      </c>
      <c r="X32" s="21">
        <f t="shared" si="11"/>
        <v>0.44590452398289254</v>
      </c>
      <c r="Y32" s="21">
        <f t="shared" si="11"/>
        <v>0.41956474306220654</v>
      </c>
      <c r="Z32" s="21">
        <f t="shared" si="11"/>
        <v>0.57401614705698212</v>
      </c>
      <c r="AC32" s="12">
        <v>2002</v>
      </c>
      <c r="AD32" s="11">
        <v>689612000</v>
      </c>
      <c r="AE32" s="12">
        <v>2016</v>
      </c>
      <c r="AF32" s="11">
        <v>4117881000</v>
      </c>
    </row>
    <row r="33" spans="2:32" x14ac:dyDescent="0.35"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C33" s="12">
        <v>2003</v>
      </c>
      <c r="AD33" s="11">
        <v>750960000</v>
      </c>
      <c r="AE33" s="12">
        <v>2015</v>
      </c>
      <c r="AF33" s="11">
        <v>3429022000</v>
      </c>
    </row>
    <row r="34" spans="2:32" x14ac:dyDescent="0.35"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C34" s="12">
        <v>2004</v>
      </c>
      <c r="AD34" s="11">
        <v>722253000</v>
      </c>
      <c r="AE34" s="12">
        <v>2014</v>
      </c>
      <c r="AF34" s="11">
        <v>3007737000</v>
      </c>
    </row>
    <row r="35" spans="2:32" x14ac:dyDescent="0.35">
      <c r="B35" s="12">
        <v>1999</v>
      </c>
      <c r="C35" s="12">
        <v>2000</v>
      </c>
      <c r="D35" s="12">
        <v>2001</v>
      </c>
      <c r="E35" s="12">
        <v>2002</v>
      </c>
      <c r="F35" s="12">
        <v>2003</v>
      </c>
      <c r="G35" s="12">
        <v>2004</v>
      </c>
      <c r="H35" s="12">
        <v>2005</v>
      </c>
      <c r="I35" s="12">
        <v>2006</v>
      </c>
      <c r="J35" s="12">
        <v>2007</v>
      </c>
      <c r="K35" s="12">
        <v>2008</v>
      </c>
      <c r="L35" s="12">
        <v>2009</v>
      </c>
      <c r="M35" s="12">
        <v>2010</v>
      </c>
      <c r="N35" s="12">
        <v>2011</v>
      </c>
      <c r="O35" s="12">
        <v>2012</v>
      </c>
      <c r="P35" s="12">
        <v>2013</v>
      </c>
      <c r="Q35" s="12">
        <v>2014</v>
      </c>
      <c r="R35" s="12">
        <v>2015</v>
      </c>
      <c r="S35" s="12">
        <v>2016</v>
      </c>
      <c r="T35" s="12">
        <v>2017</v>
      </c>
      <c r="U35" s="12">
        <v>2018</v>
      </c>
      <c r="V35" s="12">
        <v>2019</v>
      </c>
      <c r="W35" s="12">
        <v>2020</v>
      </c>
      <c r="X35" s="12">
        <v>2021</v>
      </c>
      <c r="Y35" s="12">
        <v>2022</v>
      </c>
      <c r="Z35" s="12">
        <v>2023</v>
      </c>
      <c r="AC35" s="12">
        <v>2005</v>
      </c>
      <c r="AD35" s="11">
        <v>767006000</v>
      </c>
      <c r="AE35" s="12">
        <v>2013</v>
      </c>
      <c r="AF35" s="11">
        <v>2710849000</v>
      </c>
    </row>
    <row r="36" spans="2:32" x14ac:dyDescent="0.35">
      <c r="B36" s="29">
        <v>246253000</v>
      </c>
      <c r="C36" s="29">
        <v>312997000</v>
      </c>
      <c r="D36" s="11">
        <v>379509000</v>
      </c>
      <c r="E36" s="11">
        <v>523285000</v>
      </c>
      <c r="F36" s="11">
        <v>601435000</v>
      </c>
      <c r="G36" s="11">
        <v>611564000</v>
      </c>
      <c r="H36" s="11">
        <v>706729000</v>
      </c>
      <c r="I36" s="11">
        <v>1069551000</v>
      </c>
      <c r="J36" s="29">
        <v>1028714000</v>
      </c>
      <c r="K36" s="11">
        <v>987877000</v>
      </c>
      <c r="L36" s="29">
        <v>2507682500</v>
      </c>
      <c r="M36" s="11">
        <v>4027488000</v>
      </c>
      <c r="N36" s="11">
        <v>3266759000</v>
      </c>
      <c r="O36" s="11">
        <v>3407118000</v>
      </c>
      <c r="P36" s="11">
        <v>2711530000</v>
      </c>
      <c r="Q36" s="11">
        <v>2405141000</v>
      </c>
      <c r="R36" s="11">
        <v>2550261000</v>
      </c>
      <c r="S36" s="29">
        <v>2446746000</v>
      </c>
      <c r="T36" s="29">
        <v>2343232000</v>
      </c>
      <c r="U36" s="11">
        <v>2136204000</v>
      </c>
      <c r="V36" s="11">
        <v>2136204000</v>
      </c>
      <c r="AC36" s="12">
        <v>2006</v>
      </c>
      <c r="AD36" s="11">
        <v>818283000</v>
      </c>
      <c r="AE36" s="12">
        <v>2012</v>
      </c>
      <c r="AF36" s="11">
        <v>4289735000</v>
      </c>
    </row>
    <row r="37" spans="2:32" x14ac:dyDescent="0.35">
      <c r="AC37" s="12">
        <v>2007</v>
      </c>
      <c r="AD37" s="11">
        <v>2381494000</v>
      </c>
      <c r="AE37" s="12">
        <v>2011</v>
      </c>
      <c r="AF37" s="11">
        <v>3992419000</v>
      </c>
    </row>
    <row r="38" spans="2:32" x14ac:dyDescent="0.35">
      <c r="AC38" s="12">
        <v>2008</v>
      </c>
      <c r="AD38" s="11">
        <v>1213859000</v>
      </c>
      <c r="AE38" s="12">
        <v>2010</v>
      </c>
      <c r="AF38" s="11">
        <v>2067612000</v>
      </c>
    </row>
    <row r="39" spans="2:32" x14ac:dyDescent="0.35">
      <c r="W39" s="28" t="s">
        <v>0</v>
      </c>
      <c r="X39" s="28" t="s">
        <v>43</v>
      </c>
      <c r="AC39" s="12">
        <v>2009</v>
      </c>
      <c r="AD39" s="11">
        <v>5697994000</v>
      </c>
      <c r="AE39" s="12">
        <v>2009</v>
      </c>
      <c r="AF39" s="11">
        <v>5697994000</v>
      </c>
    </row>
    <row r="40" spans="2:32" x14ac:dyDescent="0.35">
      <c r="U40" s="12">
        <v>1999</v>
      </c>
      <c r="V40" s="27"/>
      <c r="W40" s="12">
        <v>2019</v>
      </c>
      <c r="X40" s="27">
        <v>2136204000</v>
      </c>
      <c r="AC40" s="12">
        <v>2010</v>
      </c>
      <c r="AD40" s="11">
        <v>2067612000</v>
      </c>
      <c r="AE40" s="12">
        <v>2008</v>
      </c>
      <c r="AF40" s="11">
        <v>1213859000</v>
      </c>
    </row>
    <row r="41" spans="2:32" x14ac:dyDescent="0.35">
      <c r="U41" s="12">
        <v>2000</v>
      </c>
      <c r="V41" s="27"/>
      <c r="W41" s="12">
        <v>2018</v>
      </c>
      <c r="X41" s="27">
        <v>2136204000</v>
      </c>
      <c r="AC41" s="12">
        <v>2011</v>
      </c>
      <c r="AD41" s="11">
        <v>3992419000</v>
      </c>
      <c r="AE41" s="12">
        <v>2007</v>
      </c>
      <c r="AF41" s="11">
        <v>2381494000</v>
      </c>
    </row>
    <row r="42" spans="2:32" x14ac:dyDescent="0.35">
      <c r="U42" s="12">
        <v>2001</v>
      </c>
      <c r="V42" s="11">
        <v>379509000</v>
      </c>
      <c r="W42" s="12">
        <v>2017</v>
      </c>
      <c r="X42" s="27" t="s">
        <v>42</v>
      </c>
      <c r="AC42" s="12">
        <v>2012</v>
      </c>
      <c r="AD42" s="11">
        <v>4289735000</v>
      </c>
      <c r="AE42" s="12">
        <v>2006</v>
      </c>
      <c r="AF42" s="11">
        <v>818283000</v>
      </c>
    </row>
    <row r="43" spans="2:32" x14ac:dyDescent="0.35">
      <c r="U43" s="12">
        <v>2002</v>
      </c>
      <c r="V43" s="11">
        <v>523285000</v>
      </c>
      <c r="W43" s="12">
        <v>2016</v>
      </c>
      <c r="X43" s="27" t="s">
        <v>42</v>
      </c>
      <c r="AC43" s="12">
        <v>2013</v>
      </c>
      <c r="AD43" s="11">
        <v>2710849000</v>
      </c>
      <c r="AE43" s="12">
        <v>2005</v>
      </c>
      <c r="AF43" s="11">
        <v>767006000</v>
      </c>
    </row>
    <row r="44" spans="2:32" x14ac:dyDescent="0.35">
      <c r="U44" s="12">
        <v>2003</v>
      </c>
      <c r="V44" s="11">
        <v>601435000</v>
      </c>
      <c r="W44" s="12">
        <v>2015</v>
      </c>
      <c r="X44" s="11">
        <v>2550261000</v>
      </c>
      <c r="AC44" s="12">
        <v>2014</v>
      </c>
      <c r="AD44" s="11">
        <v>3007737000</v>
      </c>
      <c r="AE44" s="12">
        <v>2004</v>
      </c>
      <c r="AF44" s="11">
        <v>722253000</v>
      </c>
    </row>
    <row r="45" spans="2:32" x14ac:dyDescent="0.35">
      <c r="U45" s="12">
        <v>2004</v>
      </c>
      <c r="V45" s="11">
        <v>611564000</v>
      </c>
      <c r="W45" s="12">
        <v>2014</v>
      </c>
      <c r="X45" s="11">
        <v>2405141000</v>
      </c>
      <c r="AC45" s="12">
        <v>2015</v>
      </c>
      <c r="AD45" s="11">
        <v>3429022000</v>
      </c>
      <c r="AE45" s="12">
        <v>2003</v>
      </c>
      <c r="AF45" s="11">
        <v>750960000</v>
      </c>
    </row>
    <row r="46" spans="2:32" x14ac:dyDescent="0.35">
      <c r="U46" s="12">
        <v>2005</v>
      </c>
      <c r="V46" s="11">
        <v>706729000</v>
      </c>
      <c r="W46" s="12">
        <v>2013</v>
      </c>
      <c r="X46" s="11">
        <v>2711530000</v>
      </c>
      <c r="AC46" s="12">
        <v>2016</v>
      </c>
      <c r="AD46" s="11">
        <v>4117881000</v>
      </c>
      <c r="AE46" s="12">
        <v>2002</v>
      </c>
      <c r="AF46" s="11">
        <v>689612000</v>
      </c>
    </row>
    <row r="47" spans="2:32" x14ac:dyDescent="0.35">
      <c r="B47" s="10">
        <v>680902000</v>
      </c>
      <c r="C47" s="12">
        <v>1999</v>
      </c>
      <c r="D47" s="10">
        <v>5338245000</v>
      </c>
      <c r="E47" s="12">
        <v>2019</v>
      </c>
      <c r="U47" s="12">
        <v>2006</v>
      </c>
      <c r="V47" s="11">
        <v>1069551000</v>
      </c>
      <c r="W47" s="12">
        <v>2012</v>
      </c>
      <c r="X47" s="11">
        <v>3407118000</v>
      </c>
      <c r="AC47" s="12">
        <v>2017</v>
      </c>
      <c r="AD47" s="11">
        <v>3622324000</v>
      </c>
      <c r="AE47" s="12">
        <v>2001</v>
      </c>
      <c r="AF47" s="11">
        <v>517444000</v>
      </c>
    </row>
    <row r="48" spans="2:32" x14ac:dyDescent="0.35">
      <c r="B48" s="10">
        <v>787883000</v>
      </c>
      <c r="C48" s="12">
        <v>2000</v>
      </c>
      <c r="D48" s="10">
        <v>5293345000</v>
      </c>
      <c r="E48" s="12">
        <v>2018</v>
      </c>
      <c r="U48" s="12">
        <v>2007</v>
      </c>
      <c r="V48" s="11"/>
      <c r="W48" s="12">
        <v>2011</v>
      </c>
      <c r="X48" s="11">
        <v>3266759000</v>
      </c>
      <c r="AC48" s="12">
        <v>2018</v>
      </c>
      <c r="AD48" s="11">
        <v>3157141000</v>
      </c>
      <c r="AE48" s="12">
        <v>2000</v>
      </c>
      <c r="AF48" s="11">
        <v>474886000</v>
      </c>
    </row>
    <row r="49" spans="2:50" x14ac:dyDescent="0.35">
      <c r="B49" s="10">
        <v>896953000</v>
      </c>
      <c r="C49" s="12">
        <v>2001</v>
      </c>
      <c r="D49" s="10">
        <v>3622324000</v>
      </c>
      <c r="E49" s="12">
        <v>2017</v>
      </c>
      <c r="U49" s="12">
        <v>2008</v>
      </c>
      <c r="V49" s="11">
        <v>987877000</v>
      </c>
      <c r="W49" s="12">
        <v>2010</v>
      </c>
      <c r="X49" s="11">
        <v>4027488000</v>
      </c>
      <c r="AC49" s="12">
        <v>2019</v>
      </c>
      <c r="AD49" s="11">
        <v>3202041000</v>
      </c>
      <c r="AE49" s="12">
        <v>1999</v>
      </c>
      <c r="AF49" s="11">
        <v>434649000</v>
      </c>
    </row>
    <row r="50" spans="2:50" x14ac:dyDescent="0.35">
      <c r="B50" s="10">
        <v>1212897000</v>
      </c>
      <c r="C50" s="12">
        <v>2002</v>
      </c>
      <c r="D50" s="10">
        <v>4117881000</v>
      </c>
      <c r="E50" s="12">
        <v>2016</v>
      </c>
      <c r="U50" s="12">
        <v>2009</v>
      </c>
      <c r="V50" s="11"/>
      <c r="W50" s="12">
        <v>2009</v>
      </c>
      <c r="X50" s="27" t="s">
        <v>42</v>
      </c>
      <c r="AC50" s="12">
        <v>2020</v>
      </c>
      <c r="AD50" s="11">
        <v>3117974000</v>
      </c>
    </row>
    <row r="51" spans="2:50" x14ac:dyDescent="0.35">
      <c r="B51" s="10">
        <v>1804568000</v>
      </c>
      <c r="C51" s="12">
        <v>2003</v>
      </c>
      <c r="D51" s="10">
        <v>5979283000</v>
      </c>
      <c r="E51" s="12">
        <v>2015</v>
      </c>
      <c r="U51" s="12">
        <v>2010</v>
      </c>
      <c r="V51" s="11">
        <v>4027488000</v>
      </c>
      <c r="W51" s="12">
        <v>2008</v>
      </c>
      <c r="X51" s="11">
        <v>987877000</v>
      </c>
      <c r="AC51" s="12">
        <v>2021</v>
      </c>
      <c r="AD51" s="11">
        <v>3244688000</v>
      </c>
    </row>
    <row r="52" spans="2:50" x14ac:dyDescent="0.35">
      <c r="B52" s="10">
        <v>1673806000</v>
      </c>
      <c r="C52" s="12">
        <v>2004</v>
      </c>
      <c r="D52" s="10">
        <v>5412878000</v>
      </c>
      <c r="E52" s="12">
        <v>2014</v>
      </c>
      <c r="U52" s="12">
        <v>2011</v>
      </c>
      <c r="V52" s="11">
        <v>3266759000</v>
      </c>
      <c r="W52" s="12">
        <v>2007</v>
      </c>
      <c r="X52" s="27" t="s">
        <v>42</v>
      </c>
      <c r="AC52" s="12">
        <v>2022</v>
      </c>
      <c r="AD52" s="11">
        <v>3631273000</v>
      </c>
    </row>
    <row r="53" spans="2:50" x14ac:dyDescent="0.35">
      <c r="B53" s="10">
        <v>1953327000</v>
      </c>
      <c r="C53" s="12">
        <v>2005</v>
      </c>
      <c r="D53" s="10">
        <v>5422379000</v>
      </c>
      <c r="E53" s="12">
        <v>2013</v>
      </c>
      <c r="U53" s="12">
        <v>2012</v>
      </c>
      <c r="V53" s="11">
        <v>3407118000</v>
      </c>
      <c r="W53" s="12">
        <v>2006</v>
      </c>
      <c r="X53" s="11">
        <v>1069551000</v>
      </c>
      <c r="AC53" s="12">
        <v>2023</v>
      </c>
      <c r="AD53" s="11">
        <v>5640109000</v>
      </c>
    </row>
    <row r="54" spans="2:50" x14ac:dyDescent="0.35">
      <c r="B54" s="10">
        <v>2846218000</v>
      </c>
      <c r="C54" s="12">
        <v>2006</v>
      </c>
      <c r="D54" s="10">
        <v>7696853000</v>
      </c>
      <c r="E54" s="12">
        <v>2012</v>
      </c>
      <c r="U54" s="12">
        <v>2013</v>
      </c>
      <c r="V54" s="11">
        <v>2711530000</v>
      </c>
      <c r="W54" s="12">
        <v>2005</v>
      </c>
      <c r="X54" s="11">
        <v>706729000</v>
      </c>
    </row>
    <row r="55" spans="2:50" x14ac:dyDescent="0.35">
      <c r="B55" s="10">
        <v>3573248000</v>
      </c>
      <c r="C55" s="12">
        <v>2007</v>
      </c>
      <c r="D55" s="10">
        <v>7259178000</v>
      </c>
      <c r="E55" s="12">
        <v>2011</v>
      </c>
      <c r="U55" s="12">
        <v>2014</v>
      </c>
      <c r="V55" s="11">
        <v>2405141000</v>
      </c>
      <c r="W55" s="12">
        <v>2004</v>
      </c>
      <c r="X55" s="11">
        <v>611564000</v>
      </c>
    </row>
    <row r="56" spans="2:50" x14ac:dyDescent="0.35">
      <c r="B56" s="10">
        <v>3262088000</v>
      </c>
      <c r="C56" s="12">
        <v>2008</v>
      </c>
      <c r="D56" s="10">
        <v>6095100000</v>
      </c>
      <c r="E56" s="12">
        <v>2010</v>
      </c>
      <c r="U56" s="12">
        <v>2015</v>
      </c>
      <c r="V56" s="11">
        <v>2550261000</v>
      </c>
      <c r="W56" s="12">
        <v>2003</v>
      </c>
      <c r="X56" s="11">
        <v>601435000</v>
      </c>
    </row>
    <row r="57" spans="2:50" x14ac:dyDescent="0.35">
      <c r="B57" s="10">
        <v>7283667000</v>
      </c>
      <c r="C57" s="12">
        <v>2009</v>
      </c>
      <c r="D57" s="10">
        <v>7283667000</v>
      </c>
      <c r="E57" s="12">
        <v>2009</v>
      </c>
      <c r="U57" s="12">
        <v>2016</v>
      </c>
      <c r="W57" s="12">
        <v>2002</v>
      </c>
      <c r="X57" s="11">
        <v>523285000</v>
      </c>
      <c r="AC57" s="12">
        <v>1999</v>
      </c>
      <c r="AD57" s="12">
        <v>2000</v>
      </c>
      <c r="AE57" s="12">
        <v>2001</v>
      </c>
      <c r="AF57" s="12">
        <v>2002</v>
      </c>
      <c r="AG57" s="12">
        <v>2003</v>
      </c>
      <c r="AH57" s="12">
        <v>2004</v>
      </c>
      <c r="AI57" s="12">
        <v>2005</v>
      </c>
      <c r="AJ57" s="12">
        <v>2006</v>
      </c>
      <c r="AK57" s="12">
        <v>2007</v>
      </c>
      <c r="AL57" s="12">
        <v>2008</v>
      </c>
      <c r="AM57" s="12">
        <v>2009</v>
      </c>
      <c r="AN57" s="12">
        <v>2010</v>
      </c>
      <c r="AO57" s="12">
        <v>2011</v>
      </c>
      <c r="AP57" s="12">
        <v>2012</v>
      </c>
      <c r="AQ57" s="12">
        <v>2013</v>
      </c>
      <c r="AR57" s="12">
        <v>2014</v>
      </c>
      <c r="AS57" s="12">
        <v>2015</v>
      </c>
      <c r="AT57" s="12">
        <v>2016</v>
      </c>
      <c r="AU57" s="12">
        <v>2017</v>
      </c>
      <c r="AV57" s="12">
        <v>2018</v>
      </c>
      <c r="AW57" s="12">
        <v>2019</v>
      </c>
    </row>
    <row r="58" spans="2:50" x14ac:dyDescent="0.35">
      <c r="B58" s="10">
        <v>6095100000</v>
      </c>
      <c r="C58" s="12">
        <v>2010</v>
      </c>
      <c r="D58" s="10">
        <v>3262088000</v>
      </c>
      <c r="E58" s="12">
        <v>2008</v>
      </c>
      <c r="U58" s="12">
        <v>2017</v>
      </c>
      <c r="W58" s="12">
        <v>2001</v>
      </c>
      <c r="X58" s="11">
        <v>379509000</v>
      </c>
      <c r="AC58" s="11">
        <v>434649000</v>
      </c>
      <c r="AD58" s="11">
        <v>474886000</v>
      </c>
      <c r="AE58" s="11">
        <v>896953000</v>
      </c>
      <c r="AF58" s="11">
        <v>1212897000</v>
      </c>
      <c r="AG58" s="11">
        <v>1804568000</v>
      </c>
      <c r="AH58" s="11">
        <v>1673806000</v>
      </c>
      <c r="AI58" s="11">
        <v>1953327000</v>
      </c>
      <c r="AJ58" s="11">
        <v>2846218000</v>
      </c>
      <c r="AK58" s="11">
        <v>3573248000</v>
      </c>
      <c r="AL58" s="11">
        <v>3262088000</v>
      </c>
      <c r="AM58" s="11">
        <v>7283667000</v>
      </c>
      <c r="AN58" s="11">
        <v>6095100000</v>
      </c>
      <c r="AO58" s="11">
        <v>7259178000</v>
      </c>
      <c r="AP58" s="11">
        <v>7696853000</v>
      </c>
      <c r="AQ58" s="11">
        <v>5422379000</v>
      </c>
      <c r="AR58" s="11">
        <v>5412878000</v>
      </c>
      <c r="AS58" s="11">
        <v>5979283000</v>
      </c>
      <c r="AT58" s="11">
        <v>4117881000</v>
      </c>
      <c r="AU58" s="11">
        <v>3622324000</v>
      </c>
      <c r="AV58" s="11">
        <v>5293345000</v>
      </c>
      <c r="AW58" s="11">
        <v>5338245000</v>
      </c>
    </row>
    <row r="59" spans="2:50" x14ac:dyDescent="0.35">
      <c r="B59" s="10">
        <v>7259178000</v>
      </c>
      <c r="C59" s="12">
        <v>2011</v>
      </c>
      <c r="D59" s="10">
        <v>3573248000</v>
      </c>
      <c r="E59" s="12">
        <v>2007</v>
      </c>
      <c r="U59" s="12">
        <v>2018</v>
      </c>
      <c r="W59" s="12">
        <v>2000</v>
      </c>
      <c r="X59" s="27" t="s">
        <v>42</v>
      </c>
    </row>
    <row r="60" spans="2:50" x14ac:dyDescent="0.35">
      <c r="B60" s="10">
        <v>7696853000</v>
      </c>
      <c r="C60" s="12">
        <v>2012</v>
      </c>
      <c r="D60" s="10">
        <v>2846218000</v>
      </c>
      <c r="E60" s="12">
        <v>2006</v>
      </c>
      <c r="U60" s="12">
        <v>2019</v>
      </c>
      <c r="W60" s="12">
        <v>1999</v>
      </c>
      <c r="X60" s="27" t="s">
        <v>42</v>
      </c>
    </row>
    <row r="61" spans="2:50" x14ac:dyDescent="0.35">
      <c r="B61" s="10">
        <v>5422379000</v>
      </c>
      <c r="C61" s="12">
        <v>2013</v>
      </c>
      <c r="D61" s="10">
        <v>1953327000</v>
      </c>
      <c r="E61" s="12">
        <v>2005</v>
      </c>
    </row>
    <row r="62" spans="2:50" x14ac:dyDescent="0.35">
      <c r="B62" s="10">
        <v>5412878000</v>
      </c>
      <c r="C62" s="12">
        <v>2014</v>
      </c>
      <c r="D62" s="10">
        <v>1673806000</v>
      </c>
      <c r="E62" s="12">
        <v>2004</v>
      </c>
      <c r="AU62" s="12">
        <v>1999</v>
      </c>
      <c r="AV62" s="11">
        <v>434649000</v>
      </c>
      <c r="AW62" s="12">
        <v>2019</v>
      </c>
      <c r="AX62" s="11">
        <v>5338245000</v>
      </c>
    </row>
    <row r="63" spans="2:50" x14ac:dyDescent="0.35">
      <c r="B63" s="10">
        <v>5979283000</v>
      </c>
      <c r="C63" s="12">
        <v>2015</v>
      </c>
      <c r="D63" s="10">
        <v>1804568000</v>
      </c>
      <c r="E63" s="12">
        <v>2003</v>
      </c>
      <c r="AU63" s="12">
        <v>2000</v>
      </c>
      <c r="AV63" s="11">
        <v>474886000</v>
      </c>
      <c r="AW63" s="12">
        <v>2018</v>
      </c>
      <c r="AX63" s="11">
        <v>5293345000</v>
      </c>
    </row>
    <row r="64" spans="2:50" x14ac:dyDescent="0.35">
      <c r="B64" s="10">
        <v>4117881000</v>
      </c>
      <c r="C64" s="12">
        <v>2016</v>
      </c>
      <c r="D64" s="10">
        <v>1212897000</v>
      </c>
      <c r="E64" s="12">
        <v>2002</v>
      </c>
      <c r="AU64" s="12">
        <v>2001</v>
      </c>
      <c r="AV64" s="11">
        <v>896953000</v>
      </c>
      <c r="AW64" s="12">
        <v>2017</v>
      </c>
      <c r="AX64" s="11">
        <v>3622324000</v>
      </c>
    </row>
    <row r="65" spans="2:50" x14ac:dyDescent="0.35">
      <c r="B65" s="10">
        <v>3622324000</v>
      </c>
      <c r="C65" s="12">
        <v>2017</v>
      </c>
      <c r="D65" s="10">
        <v>896953000</v>
      </c>
      <c r="E65" s="12">
        <v>2001</v>
      </c>
      <c r="AU65" s="12">
        <v>2002</v>
      </c>
      <c r="AV65" s="11">
        <v>1212897000</v>
      </c>
      <c r="AW65" s="12">
        <v>2016</v>
      </c>
      <c r="AX65" s="11">
        <v>4117881000</v>
      </c>
    </row>
    <row r="66" spans="2:50" x14ac:dyDescent="0.35">
      <c r="B66" s="10">
        <v>5293345000</v>
      </c>
      <c r="C66" s="12">
        <v>2018</v>
      </c>
      <c r="D66" s="10">
        <v>787883000</v>
      </c>
      <c r="E66" s="12">
        <v>2000</v>
      </c>
      <c r="U66" s="12">
        <v>1999</v>
      </c>
      <c r="V66" s="29">
        <v>246253000</v>
      </c>
      <c r="W66" s="12">
        <v>2019</v>
      </c>
      <c r="X66" s="11">
        <v>2136204000</v>
      </c>
      <c r="AU66" s="12">
        <v>2003</v>
      </c>
      <c r="AV66" s="11">
        <v>1804568000</v>
      </c>
      <c r="AW66" s="12">
        <v>2015</v>
      </c>
      <c r="AX66" s="11">
        <v>5979283000</v>
      </c>
    </row>
    <row r="67" spans="2:50" x14ac:dyDescent="0.35">
      <c r="B67" s="10">
        <v>5338245000</v>
      </c>
      <c r="C67" s="12">
        <v>2019</v>
      </c>
      <c r="D67" s="10">
        <v>680902000</v>
      </c>
      <c r="E67" s="12">
        <v>1999</v>
      </c>
      <c r="U67" s="12">
        <v>2000</v>
      </c>
      <c r="V67" s="29">
        <v>312997000</v>
      </c>
      <c r="W67" s="12">
        <v>2018</v>
      </c>
      <c r="X67" s="11">
        <v>2136204000</v>
      </c>
      <c r="AU67" s="12">
        <v>2004</v>
      </c>
      <c r="AV67" s="11">
        <v>1673806000</v>
      </c>
      <c r="AW67" s="12">
        <v>2014</v>
      </c>
      <c r="AX67" s="11">
        <v>5412878000</v>
      </c>
    </row>
    <row r="68" spans="2:50" x14ac:dyDescent="0.35">
      <c r="B68" s="10">
        <v>5226901000</v>
      </c>
      <c r="C68" s="12">
        <v>2020</v>
      </c>
      <c r="U68" s="12">
        <v>2001</v>
      </c>
      <c r="V68" s="11">
        <v>379509000</v>
      </c>
      <c r="W68" s="12">
        <v>2017</v>
      </c>
      <c r="X68" s="29">
        <v>2343232000</v>
      </c>
      <c r="AU68" s="12">
        <v>2005</v>
      </c>
      <c r="AV68" s="11">
        <v>1953327000</v>
      </c>
      <c r="AW68" s="12">
        <v>2013</v>
      </c>
      <c r="AX68" s="11">
        <v>5422379000</v>
      </c>
    </row>
    <row r="69" spans="2:50" x14ac:dyDescent="0.35">
      <c r="U69" s="12">
        <v>2002</v>
      </c>
      <c r="V69" s="11">
        <v>523285000</v>
      </c>
      <c r="W69" s="12">
        <v>2016</v>
      </c>
      <c r="X69" s="29">
        <v>2446746000</v>
      </c>
      <c r="AU69" s="12">
        <v>2006</v>
      </c>
      <c r="AV69" s="11">
        <v>2846218000</v>
      </c>
      <c r="AW69" s="12">
        <v>2012</v>
      </c>
      <c r="AX69" s="11">
        <v>7696853000</v>
      </c>
    </row>
    <row r="70" spans="2:50" x14ac:dyDescent="0.35">
      <c r="U70" s="12">
        <v>2003</v>
      </c>
      <c r="V70" s="11">
        <v>601435000</v>
      </c>
      <c r="W70" s="12">
        <v>2015</v>
      </c>
      <c r="X70" s="11">
        <v>2550261000</v>
      </c>
      <c r="AU70" s="12">
        <v>2007</v>
      </c>
      <c r="AV70" s="11">
        <v>3573248000</v>
      </c>
      <c r="AW70" s="12">
        <v>2011</v>
      </c>
      <c r="AX70" s="11">
        <v>7259178000</v>
      </c>
    </row>
    <row r="71" spans="2:50" x14ac:dyDescent="0.35">
      <c r="U71" s="12">
        <v>2004</v>
      </c>
      <c r="V71" s="11">
        <v>611564000</v>
      </c>
      <c r="W71" s="12">
        <v>2014</v>
      </c>
      <c r="X71" s="11">
        <v>2405141000</v>
      </c>
      <c r="AU71" s="12">
        <v>2008</v>
      </c>
      <c r="AV71" s="11">
        <v>3262088000</v>
      </c>
      <c r="AW71" s="12">
        <v>2010</v>
      </c>
      <c r="AX71" s="11">
        <v>6095100000</v>
      </c>
    </row>
    <row r="72" spans="2:50" x14ac:dyDescent="0.35">
      <c r="U72" s="12">
        <v>2005</v>
      </c>
      <c r="V72" s="11">
        <v>706729000</v>
      </c>
      <c r="W72" s="12">
        <v>2013</v>
      </c>
      <c r="X72" s="11">
        <v>2711530000</v>
      </c>
      <c r="AU72" s="12">
        <v>2009</v>
      </c>
      <c r="AV72" s="11">
        <v>7283667000</v>
      </c>
      <c r="AW72" s="12">
        <v>2009</v>
      </c>
      <c r="AX72" s="11">
        <v>7283667000</v>
      </c>
    </row>
    <row r="73" spans="2:50" x14ac:dyDescent="0.35">
      <c r="U73" s="12">
        <v>2006</v>
      </c>
      <c r="V73" s="11">
        <v>1069551000</v>
      </c>
      <c r="W73" s="12">
        <v>2012</v>
      </c>
      <c r="X73" s="11">
        <v>3407118000</v>
      </c>
      <c r="AU73" s="12">
        <v>2010</v>
      </c>
      <c r="AV73" s="11">
        <v>6095100000</v>
      </c>
      <c r="AW73" s="12">
        <v>2008</v>
      </c>
      <c r="AX73" s="11">
        <v>3262088000</v>
      </c>
    </row>
    <row r="74" spans="2:50" x14ac:dyDescent="0.35">
      <c r="U74" s="12">
        <v>2007</v>
      </c>
      <c r="V74" s="29">
        <v>1028714000</v>
      </c>
      <c r="W74" s="12">
        <v>2011</v>
      </c>
      <c r="X74" s="11">
        <v>3266759000</v>
      </c>
      <c r="AU74" s="12">
        <v>2011</v>
      </c>
      <c r="AV74" s="11">
        <v>7259178000</v>
      </c>
      <c r="AW74" s="12">
        <v>2007</v>
      </c>
      <c r="AX74" s="11">
        <v>3573248000</v>
      </c>
    </row>
    <row r="75" spans="2:50" x14ac:dyDescent="0.35">
      <c r="U75" s="12">
        <v>2008</v>
      </c>
      <c r="V75" s="11">
        <v>987877000</v>
      </c>
      <c r="W75" s="12">
        <v>2010</v>
      </c>
      <c r="X75" s="11">
        <v>4027488000</v>
      </c>
      <c r="AU75" s="12">
        <v>2012</v>
      </c>
      <c r="AV75" s="11">
        <v>7696853000</v>
      </c>
      <c r="AW75" s="12">
        <v>2006</v>
      </c>
      <c r="AX75" s="11">
        <v>2846218000</v>
      </c>
    </row>
    <row r="76" spans="2:50" x14ac:dyDescent="0.35">
      <c r="U76" s="12">
        <v>2009</v>
      </c>
      <c r="V76" s="29">
        <v>2507682500</v>
      </c>
      <c r="W76" s="12">
        <v>2009</v>
      </c>
      <c r="X76" s="29">
        <v>2507682500</v>
      </c>
      <c r="AU76" s="12">
        <v>2013</v>
      </c>
      <c r="AV76" s="11">
        <v>5422379000</v>
      </c>
      <c r="AW76" s="12">
        <v>2005</v>
      </c>
      <c r="AX76" s="11">
        <v>1953327000</v>
      </c>
    </row>
    <row r="77" spans="2:50" x14ac:dyDescent="0.35">
      <c r="U77" s="12">
        <v>2010</v>
      </c>
      <c r="V77" s="11">
        <v>4027488000</v>
      </c>
      <c r="W77" s="12">
        <v>2008</v>
      </c>
      <c r="X77" s="11">
        <v>987877000</v>
      </c>
      <c r="AU77" s="12">
        <v>2014</v>
      </c>
      <c r="AV77" s="11">
        <v>5412878000</v>
      </c>
      <c r="AW77" s="12">
        <v>2004</v>
      </c>
      <c r="AX77" s="11">
        <v>1673806000</v>
      </c>
    </row>
    <row r="78" spans="2:50" x14ac:dyDescent="0.35">
      <c r="U78" s="12">
        <v>2011</v>
      </c>
      <c r="V78" s="11">
        <v>3266759000</v>
      </c>
      <c r="W78" s="12">
        <v>2007</v>
      </c>
      <c r="X78" s="29">
        <v>1028714000</v>
      </c>
      <c r="AU78" s="12">
        <v>2015</v>
      </c>
      <c r="AV78" s="11">
        <v>5979283000</v>
      </c>
      <c r="AW78" s="12">
        <v>2003</v>
      </c>
      <c r="AX78" s="11">
        <v>1804568000</v>
      </c>
    </row>
    <row r="79" spans="2:50" x14ac:dyDescent="0.35">
      <c r="U79" s="12">
        <v>2012</v>
      </c>
      <c r="V79" s="11">
        <v>3407118000</v>
      </c>
      <c r="W79" s="12">
        <v>2006</v>
      </c>
      <c r="X79" s="11">
        <v>1069551000</v>
      </c>
      <c r="AU79" s="12">
        <v>2016</v>
      </c>
      <c r="AV79" s="11">
        <v>4117881000</v>
      </c>
      <c r="AW79" s="12">
        <v>2002</v>
      </c>
      <c r="AX79" s="11">
        <v>1212897000</v>
      </c>
    </row>
    <row r="80" spans="2:50" x14ac:dyDescent="0.35">
      <c r="U80" s="12">
        <v>2013</v>
      </c>
      <c r="V80" s="11">
        <v>2711530000</v>
      </c>
      <c r="W80" s="12">
        <v>2005</v>
      </c>
      <c r="X80" s="11">
        <v>706729000</v>
      </c>
      <c r="AU80" s="12">
        <v>2017</v>
      </c>
      <c r="AV80" s="11">
        <v>3622324000</v>
      </c>
      <c r="AW80" s="12">
        <v>2001</v>
      </c>
      <c r="AX80" s="11">
        <v>896953000</v>
      </c>
    </row>
    <row r="81" spans="21:50" x14ac:dyDescent="0.35">
      <c r="U81" s="12">
        <v>2014</v>
      </c>
      <c r="V81" s="11">
        <v>2405141000</v>
      </c>
      <c r="W81" s="12">
        <v>2004</v>
      </c>
      <c r="X81" s="11">
        <v>611564000</v>
      </c>
      <c r="AU81" s="12">
        <v>2018</v>
      </c>
      <c r="AV81" s="11">
        <v>5293345000</v>
      </c>
      <c r="AW81" s="12">
        <v>2000</v>
      </c>
      <c r="AX81" s="11">
        <v>474886000</v>
      </c>
    </row>
    <row r="82" spans="21:50" x14ac:dyDescent="0.35">
      <c r="U82" s="12">
        <v>2015</v>
      </c>
      <c r="V82" s="11">
        <v>2550261000</v>
      </c>
      <c r="W82" s="12">
        <v>2003</v>
      </c>
      <c r="X82" s="11">
        <v>601435000</v>
      </c>
      <c r="AU82" s="12">
        <v>2019</v>
      </c>
      <c r="AV82" s="11">
        <v>5338245000</v>
      </c>
      <c r="AW82" s="12">
        <v>1999</v>
      </c>
      <c r="AX82" s="11">
        <v>434649000</v>
      </c>
    </row>
    <row r="83" spans="21:50" x14ac:dyDescent="0.35">
      <c r="U83" s="12">
        <v>2016</v>
      </c>
      <c r="V83" s="29">
        <v>2446746000</v>
      </c>
      <c r="W83" s="12">
        <v>2002</v>
      </c>
      <c r="X83" s="11">
        <v>523285000</v>
      </c>
    </row>
    <row r="84" spans="21:50" x14ac:dyDescent="0.35">
      <c r="U84" s="12">
        <v>2017</v>
      </c>
      <c r="V84" s="29">
        <v>2343232000</v>
      </c>
      <c r="W84" s="12">
        <v>2001</v>
      </c>
      <c r="X84" s="11">
        <v>379509000</v>
      </c>
    </row>
    <row r="85" spans="21:50" x14ac:dyDescent="0.35">
      <c r="U85" s="12">
        <v>2018</v>
      </c>
      <c r="V85" s="29">
        <v>2136204000</v>
      </c>
      <c r="W85" s="12">
        <v>2000</v>
      </c>
      <c r="X85" s="29">
        <v>312997000</v>
      </c>
    </row>
    <row r="86" spans="21:50" x14ac:dyDescent="0.35">
      <c r="U86" s="12">
        <v>2019</v>
      </c>
      <c r="V86" s="29">
        <v>2136204000</v>
      </c>
      <c r="W86" s="12">
        <v>1999</v>
      </c>
      <c r="X86" s="29">
        <v>246253000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Annual Budgets breakdown</vt:lpstr>
      <vt:lpstr>Etat C Budget by sector</vt:lpstr>
      <vt:lpstr>Working 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Hamza</dc:creator>
  <cp:keywords/>
  <dc:description/>
  <cp:lastModifiedBy>Hamza Benmessaoud</cp:lastModifiedBy>
  <cp:revision/>
  <dcterms:created xsi:type="dcterms:W3CDTF">2015-06-05T18:17:20Z</dcterms:created>
  <dcterms:modified xsi:type="dcterms:W3CDTF">2026-04-05T13:46:22Z</dcterms:modified>
  <cp:category/>
  <cp:contentStatus/>
</cp:coreProperties>
</file>